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71138f684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结果" sheetId="1" r:id="Rccfb3c2de63b427c"/>
    <x:sheet xmlns:r="http://schemas.openxmlformats.org/officeDocument/2006/relationships" name="评分明细" sheetId="2" r:id="R065814d5132a4b6b"/>
    <x:sheet xmlns:r="http://schemas.openxmlformats.org/officeDocument/2006/relationships" name="事实抽检" sheetId="3" r:id="Rd5be94d1ed37497a"/>
    <x:sheet xmlns:r="http://schemas.openxmlformats.org/officeDocument/2006/relationships" name="运行信息" sheetId="4" r:id="R0ea839657b8b44df"/>
    <x:sheet xmlns:r="http://schemas.openxmlformats.org/officeDocument/2006/relationships" name="审计说明" sheetId="5" r:id="R1bf14a5b2278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d8d559dbb4fdd" /><Relationship Type="http://schemas.openxmlformats.org/officeDocument/2006/relationships/theme" Target="/xl/theme/theme1.xml" Id="R265d58fe4f394a2c" /><Relationship Type="http://schemas.openxmlformats.org/officeDocument/2006/relationships/sharedStrings" Target="/xl/sharedStrings.xml" Id="R75fbdc562e384004" /><Relationship Type="http://schemas.openxmlformats.org/officeDocument/2006/relationships/worksheet" Target="/xl/worksheets/sheet1.xml" Id="Rccfb3c2de63b427c" /><Relationship Type="http://schemas.openxmlformats.org/officeDocument/2006/relationships/worksheet" Target="/xl/worksheets/sheet2.xml" Id="R065814d5132a4b6b" /><Relationship Type="http://schemas.openxmlformats.org/officeDocument/2006/relationships/worksheet" Target="/xl/worksheets/sheet3.xml" Id="Rd5be94d1ed37497a" /><Relationship Type="http://schemas.openxmlformats.org/officeDocument/2006/relationships/worksheet" Target="/xl/worksheets/sheet4.xml" Id="R0ea839657b8b44df" /><Relationship Type="http://schemas.openxmlformats.org/officeDocument/2006/relationships/worksheet" Target="/xl/worksheets/sheet5.xml" Id="R1bf14a5b22784d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48" hidden="0" customWidth="1"/>
  </x:cols>
  <x:sheetData>
    <x:row r="1" ht="28" customHeight="1">
      <x:c r="A1" s="4" t="str">
        <x:v>WorkBuddy 换模型评估：综合结果</x:v>
      </x:c>
      <x:c r="B1" s="4" t="str">
        <x:v>WorkBuddy 换模型评估：综合结果</x:v>
      </x:c>
      <x:c r="C1" s="4" t="str">
        <x:v>WorkBuddy 换模型评估：综合结果</x:v>
      </x:c>
      <x:c r="D1" s="4" t="str">
        <x:v>WorkBuddy 换模型评估：综合结果</x:v>
      </x:c>
      <x:c r="E1" s="4" t="str">
        <x:v>WorkBuddy 换模型评估：综合结果</x:v>
      </x:c>
      <x:c r="F1" s="4" t="str">
        <x:v>WorkBuddy 换模型评估：综合结果</x:v>
      </x:c>
      <x:c r="G1" s="4" t="str">
        <x:v>WorkBuddy 换模型评估：综合结果</x:v>
      </x:c>
      <x:c r="H1" s="4" t="str">
        <x:v>WorkBuddy 换模型评估：综合结果</x:v>
      </x:c>
      <x:c r="I1" s="4" t="str">
        <x:v>WorkBuddy 换模型评估：综合结果</x:v>
      </x:c>
      <x:c r="J1" s="4" t="str">
        <x:v>WorkBuddy 换模型评估：综合结果</x:v>
      </x:c>
      <x:c r="K1" s="4" t="str">
        <x:v>WorkBuddy 换模型评估：综合结果</x:v>
      </x:c>
    </x:row>
    <x:row r="3" ht="26" customHeight="1">
      <x:c r="A3" s="10" t="str">
        <x:v>配置</x:v>
      </x:c>
      <x:c r="B3" s="10" t="str">
        <x:v>模型或模式</x:v>
      </x:c>
      <x:c r="C3" s="10" t="str">
        <x:v>总耗时秒</x:v>
      </x:c>
      <x:c r="D3" s="10" t="str">
        <x:v>事实可靠性</x:v>
      </x:c>
      <x:c r="E3" s="10" t="str">
        <x:v>研究完整性</x:v>
      </x:c>
      <x:c r="F3" s="10" t="str">
        <x:v>分析观点</x:v>
      </x:c>
      <x:c r="G3" s="10" t="str">
        <x:v>来源与引用</x:v>
      </x:c>
      <x:c r="H3" s="10" t="str">
        <x:v>效率</x:v>
      </x:c>
      <x:c r="I3" s="10" t="str">
        <x:v>综合得分</x:v>
      </x:c>
      <x:c r="J3" s="10" t="str">
        <x:v>门槛检查</x:v>
      </x:c>
      <x:c r="K3" s="10" t="str">
        <x:v>结论</x:v>
      </x:c>
    </x:row>
    <x:row r="4" ht="26" customHeight="1">
      <x:c r="A4" s="13" t="str">
        <x:v>HY3基线</x:v>
      </x:c>
      <x:c r="B4" s="13" t="str">
        <x:v>HY3</x:v>
      </x:c>
      <x:c r="C4" s="14" t="n">
        <x:v>893.74</x:v>
      </x:c>
      <x:c r="D4" s="14" t="n">
        <x:v>86.67</x:v>
      </x:c>
      <x:c r="E4" s="14" t="n">
        <x:v>98.33</x:v>
      </x:c>
      <x:c r="F4" s="14" t="n">
        <x:v>77.5</x:v>
      </x:c>
      <x:c r="G4" s="14" t="n">
        <x:v>70.25</x:v>
      </x:c>
      <x:c r="H4" s="14" t="n">
        <x:f>100*SQRT(MIN($C$4:$C$6)/C4)</x:f>
        <x:v>57.002343150673454</x:v>
      </x:c>
      <x:c r="I4" s="14" t="n">
        <x:f>D4*30%+E4*30%+F4*20%+G4*10%+H4*10%</x:f>
        <x:v>83.72523431506735</x:v>
      </x:c>
      <x:c r="J4" s="13" t="str">
        <x:v>通过</x:v>
      </x:c>
      <x:c r="K4" s="13" t="str">
        <x:v>覆盖最全但来源结构偏媒体与聚合站，耗时最长</x:v>
      </x:c>
    </x:row>
    <x:row r="5" ht="26" customHeight="1">
      <x:c r="A5" s="13" t="str">
        <x:v>Auto模型</x:v>
      </x:c>
      <x:c r="B5" s="13" t="str">
        <x:v>Auto + MAX</x:v>
      </x:c>
      <x:c r="C5" s="14" t="n">
        <x:v>459.48</x:v>
      </x:c>
      <x:c r="D5" s="14" t="n">
        <x:v>93.33</x:v>
      </x:c>
      <x:c r="E5" s="14" t="n">
        <x:v>98.33</x:v>
      </x:c>
      <x:c r="F5" s="14" t="n">
        <x:v>87.5</x:v>
      </x:c>
      <x:c r="G5" s="14" t="n">
        <x:v>83</x:v>
      </x:c>
      <x:c r="H5" s="14" t="n">
        <x:f>100*SQRT(MIN($C$4:$C$6)/C5)</x:f>
        <x:v>79.49961030503476</x:v>
      </x:c>
      <x:c r="I5" s="14" t="n">
        <x:f>D5*30%+E5*30%+F5*20%+G5*10%+H5*10%</x:f>
        <x:v>91.24796103050346</x:v>
      </x:c>
      <x:c r="J5" s="13" t="str">
        <x:v>通过</x:v>
      </x:c>
      <x:c r="K5" s="13" t="str">
        <x:v>本次复测中质量最均衡，官方来源与风险提示均有改善</x:v>
      </x:c>
    </x:row>
    <x:row r="6" ht="26" customHeight="1">
      <x:c r="A6" s="13" t="str">
        <x:v>DeepSeek V4 Flash</x:v>
      </x:c>
      <x:c r="B6" s="13" t="str">
        <x:v>DeepSeek V4 Flash API + MAX</x:v>
      </x:c>
      <x:c r="C6" s="14" t="n">
        <x:v>290.4</x:v>
      </x:c>
      <x:c r="D6" s="14" t="n">
        <x:v>86.67</x:v>
      </x:c>
      <x:c r="E6" s="14" t="n">
        <x:v>98.67</x:v>
      </x:c>
      <x:c r="F6" s="14" t="n">
        <x:v>82.5</x:v>
      </x:c>
      <x:c r="G6" s="14" t="n">
        <x:v>79</x:v>
      </x:c>
      <x:c r="H6" s="14" t="n">
        <x:f>100*SQRT(MIN($C$4:$C$6)/C6)</x:f>
        <x:v>100</x:v>
      </x:c>
      <x:c r="I6" s="14" t="n">
        <x:f>D6*30%+E6*30%+F6*20%+G6*10%+H6*10%</x:f>
        <x:v>90.00200000000001</x:v>
      </x:c>
      <x:c r="J6" s="13" t="str">
        <x:v>通过</x:v>
      </x:c>
      <x:c r="K6" s="13" t="str">
        <x:v>最快且结构完整，但第三方汇总和商业化断言偏多</x:v>
      </x:c>
    </x:row>
    <x:row r="8">
      <x:c r="A8" s="18" t="str">
        <x:v>说明：本表只比较 WorkBuddy 内部配置；HY3 仍是三平台主测试的原始基线。效率以本组最快的 290.40 秒为基准。</x:v>
      </x:c>
    </x:row>
  </x:sheetData>
  <x:mergeCells>
    <x:mergeCell ref="A1:K1"/>
    <x:mergeCell ref="A8:K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5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 ht="28" customHeight="1">
      <x:c r="A1" s="4" t="str">
        <x:v>评分明细与可追溯计算</x:v>
      </x:c>
      <x:c r="B1" s="4" t="str">
        <x:v>评分明细与可追溯计算</x:v>
      </x:c>
      <x:c r="C1" s="4" t="str">
        <x:v>评分明细与可追溯计算</x:v>
      </x:c>
      <x:c r="D1" s="4" t="str">
        <x:v>评分明细与可追溯计算</x:v>
      </x:c>
      <x:c r="E1" s="4" t="str">
        <x:v>评分明细与可追溯计算</x:v>
      </x:c>
      <x:c r="F1" s="4" t="str">
        <x:v>评分明细与可追溯计算</x:v>
      </x:c>
      <x:c r="G1" s="4" t="str">
        <x:v>评分明细与可追溯计算</x:v>
      </x:c>
      <x:c r="H1" s="4" t="str">
        <x:v>评分明细与可追溯计算</x:v>
      </x:c>
    </x:row>
    <x:row r="3">
      <x:c r="A3" s="10" t="str">
        <x:v>配置</x:v>
      </x:c>
      <x:c r="B3" s="10" t="str">
        <x:v>事实可靠性（30%）</x:v>
      </x:c>
      <x:c r="C3" s="10" t="str">
        <x:v>研究完整性（30%）</x:v>
      </x:c>
      <x:c r="D3" s="10" t="str">
        <x:v>分析观点（20%）</x:v>
      </x:c>
      <x:c r="E3" s="10" t="str">
        <x:v>来源与引用（10%）</x:v>
      </x:c>
      <x:c r="F3" s="10" t="str">
        <x:v>效率（10%）</x:v>
      </x:c>
      <x:c r="G3" s="10" t="str">
        <x:v>综合得分</x:v>
      </x:c>
      <x:c r="H3" s="10" t="str">
        <x:v>评分依据摘要</x:v>
      </x:c>
    </x:row>
    <x:row r="4">
      <x:c r="A4" s="13" t="str">
        <x:v>HY3基线</x:v>
      </x:c>
      <x:c r="B4" s="14" t="n">
        <x:v>86.67</x:v>
      </x:c>
      <x:c r="C4" s="14" t="n">
        <x:v>98.33</x:v>
      </x:c>
      <x:c r="D4" s="14" t="n">
        <x:v>77.5</x:v>
      </x:c>
      <x:c r="E4" s="14" t="n">
        <x:v>70.25</x:v>
      </x:c>
      <x:c r="F4" s="14" t="n">
        <x:f>'综合结果'!H4</x:f>
        <x:v>57.002343150673454</x:v>
      </x:c>
      <x:c r="G4" s="14" t="n">
        <x:f>'综合结果'!I4</x:f>
        <x:v>83.72523431506735</x:v>
      </x:c>
      <x:c r="H4" s="13" t="str">
        <x:v>12/12家族、115/120字段；媒体与聚合来源占比偏高</x:v>
      </x:c>
    </x:row>
    <x:row r="5">
      <x:c r="A5" s="13" t="str">
        <x:v>Auto + MAX</x:v>
      </x:c>
      <x:c r="B5" s="14" t="n">
        <x:v>93.33</x:v>
      </x:c>
      <x:c r="C5" s="14" t="n">
        <x:v>98.33</x:v>
      </x:c>
      <x:c r="D5" s="14" t="n">
        <x:v>87.5</x:v>
      </x:c>
      <x:c r="E5" s="14" t="n">
        <x:v>83</x:v>
      </x:c>
      <x:c r="F5" s="14" t="n">
        <x:f>'综合结果'!H5</x:f>
        <x:v>79.49961030503476</x:v>
      </x:c>
      <x:c r="G5" s="14" t="n">
        <x:f>'综合结果'!I5</x:f>
        <x:v>91.24796103050346</x:v>
      </x:c>
      <x:c r="H5" s="13" t="str">
        <x:v>12/12家族、115/120字段；风险提示和官方来源结构改善</x:v>
      </x:c>
    </x:row>
    <x:row r="6">
      <x:c r="A6" s="13" t="str">
        <x:v>DeepSeek V4 Flash</x:v>
      </x:c>
      <x:c r="B6" s="14" t="n">
        <x:v>86.67</x:v>
      </x:c>
      <x:c r="C6" s="14" t="n">
        <x:v>98.67</x:v>
      </x:c>
      <x:c r="D6" s="14" t="n">
        <x:v>82.5</x:v>
      </x:c>
      <x:c r="E6" s="14" t="n">
        <x:v>79</x:v>
      </x:c>
      <x:c r="F6" s="14" t="n">
        <x:f>'综合结果'!H6</x:f>
        <x:v>100</x:v>
      </x:c>
      <x:c r="G6" s="14" t="n">
        <x:f>'综合结果'!I6</x:f>
        <x:v>90.00200000000001</x:v>
      </x:c>
      <x:c r="H6" s="13" t="str">
        <x:v>12/12家族、116/120字段；第三方汇总与商业化断言偏多</x:v>
      </x:c>
    </x:row>
    <x:row r="9">
      <x:c r="A9" s="10" t="str">
        <x:v>维度</x:v>
      </x:c>
      <x:c r="B9" s="10" t="str">
        <x:v>权重</x:v>
      </x:c>
      <x:c r="C9" s="10" t="str">
        <x:v>核算方式</x:v>
      </x:c>
      <x:c r="D9" s="10" t="str"/>
      <x:c r="E9" s="10" t="str"/>
      <x:c r="F9" s="10" t="str"/>
      <x:c r="G9" s="10" t="str"/>
      <x:c r="H9" s="10" t="str"/>
    </x:row>
    <x:row r="10">
      <x:c r="A10" s="13" t="str">
        <x:v>事实可靠性</x:v>
      </x:c>
      <x:c r="B10" s="13" t="str">
        <x:v>30%</x:v>
      </x:c>
      <x:c r="C10" s="13" t="str">
        <x:v>30条分层事实：正确=1、部分支持=0.5、错误/无法支持=0</x:v>
      </x:c>
    </x:row>
    <x:row r="11">
      <x:c r="A11" s="13" t="str">
        <x:v>研究完整性</x:v>
      </x:c>
      <x:c r="B11" s="13" t="str">
        <x:v>30%</x:v>
      </x:c>
      <x:c r="C11" s="13" t="str">
        <x:v>12个核心家族覆盖率60% + 10字段填充率40%</x:v>
      </x:c>
    </x:row>
    <x:row r="12">
      <x:c r="A12" s="13" t="str">
        <x:v>分析观点</x:v>
      </x:c>
      <x:c r="B12" s="13" t="str">
        <x:v>20%</x:v>
      </x:c>
      <x:c r="C12" s="13" t="str">
        <x:v>策略判断、事实/推断区分、相对位置、跟踪框架各0–5分</x:v>
      </x:c>
    </x:row>
    <x:row r="13">
      <x:c r="A13" s="13" t="str">
        <x:v>来源与引用</x:v>
      </x:c>
      <x:c r="B13" s="13" t="str">
        <x:v>10%</x:v>
      </x:c>
      <x:c r="C13" s="13" t="str">
        <x:v>链接有效20%、直接支持35%、一手来源35%、冲突处理10%</x:v>
      </x:c>
    </x:row>
    <x:row r="14">
      <x:c r="A14" s="13" t="str">
        <x:v>效率</x:v>
      </x:c>
      <x:c r="B14" s="13" t="str">
        <x:v>10%</x:v>
      </x:c>
      <x:c r="C14" s="13" t="str">
        <x:v>100 × sqrt(本组最短总耗时 / 本配置总耗时)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0" hidden="0" customWidth="1"/>
    <x:col min="3" max="3" width="14" hidden="0" customWidth="1"/>
    <x:col min="4" max="4" width="12" hidden="0" customWidth="1"/>
    <x:col min="5" max="5" width="16" hidden="0" customWidth="1"/>
    <x:col min="6" max="6" width="9" hidden="0" customWidth="1"/>
    <x:col min="7" max="7" width="50" hidden="0" customWidth="1"/>
  </x:cols>
  <x:sheetData>
    <x:row r="1" ht="28" customHeight="1">
      <x:c r="A1" s="4" t="str">
        <x:v>事实可靠性：30条分层抽检</x:v>
      </x:c>
      <x:c r="B1" s="4" t="str">
        <x:v>事实可靠性：30条分层抽检</x:v>
      </x:c>
      <x:c r="C1" s="4" t="str">
        <x:v>事实可靠性：30条分层抽检</x:v>
      </x:c>
      <x:c r="D1" s="4" t="str">
        <x:v>事实可靠性：30条分层抽检</x:v>
      </x:c>
      <x:c r="E1" s="4" t="str">
        <x:v>事实可靠性：30条分层抽检</x:v>
      </x:c>
      <x:c r="F1" s="4" t="str">
        <x:v>事实可靠性：30条分层抽检</x:v>
      </x:c>
      <x:c r="G1" s="4" t="str">
        <x:v>事实可靠性：30条分层抽检</x:v>
      </x:c>
    </x:row>
    <x:row r="3">
      <x:c r="A3" s="10" t="str">
        <x:v>配置</x:v>
      </x:c>
      <x:c r="B3" s="10" t="str">
        <x:v>抽检序号</x:v>
      </x:c>
      <x:c r="C3" s="10" t="str">
        <x:v>事实类别</x:v>
      </x:c>
      <x:c r="D3" s="10" t="str">
        <x:v>对应事实编号</x:v>
      </x:c>
      <x:c r="E3" s="10" t="str">
        <x:v>审计结论</x:v>
      </x:c>
      <x:c r="F3" s="10" t="str">
        <x:v>得分</x:v>
      </x:c>
      <x:c r="G3" s="10" t="str">
        <x:v>理由</x:v>
      </x:c>
    </x:row>
    <x:row r="4">
      <x:c r="A4" s="13" t="str">
        <x:v>HY3基线</x:v>
      </x:c>
      <x:c r="B4" s="13" t="str">
        <x:v>1</x:v>
      </x:c>
      <x:c r="C4" s="13" t="str">
        <x:v>发布时间</x:v>
      </x:c>
      <x:c r="D4" s="13" t="str">
        <x:v>F01</x:v>
      </x:c>
      <x:c r="E4" s="13" t="str">
        <x:v>正确</x:v>
      </x:c>
      <x:c r="F4" s="19" t="str">
        <x:v>1</x:v>
      </x:c>
      <x:c r="G4" s="13" t="str">
        <x:v>GLM框架与GLM-10B时间线有官方来源</x:v>
      </x:c>
    </x:row>
    <x:row r="5">
      <x:c r="A5" s="13" t="str">
        <x:v>HY3基线</x:v>
      </x:c>
      <x:c r="B5" s="13" t="str">
        <x:v>2</x:v>
      </x:c>
      <x:c r="C5" s="13" t="str">
        <x:v>发布时间</x:v>
      </x:c>
      <x:c r="D5" s="13" t="str">
        <x:v>F06</x:v>
      </x:c>
      <x:c r="E5" s="13" t="str">
        <x:v>正确</x:v>
      </x:c>
      <x:c r="F5" s="19" t="str">
        <x:v>1</x:v>
      </x:c>
      <x:c r="G5" s="13" t="str">
        <x:v>GLM-4发布日期与公开报道一致</x:v>
      </x:c>
    </x:row>
    <x:row r="6">
      <x:c r="A6" s="13" t="str">
        <x:v>HY3基线</x:v>
      </x:c>
      <x:c r="B6" s="13" t="str">
        <x:v>3</x:v>
      </x:c>
      <x:c r="C6" s="13" t="str">
        <x:v>参数</x:v>
      </x:c>
      <x:c r="D6" s="13" t="str">
        <x:v>F22</x:v>
      </x:c>
      <x:c r="E6" s="13" t="str">
        <x:v>正确</x:v>
      </x:c>
      <x:c r="F6" s="19" t="str">
        <x:v>1</x:v>
      </x:c>
      <x:c r="G6" s="13" t="str">
        <x:v>GLM-4.5参数有官方文档支持</x:v>
      </x:c>
    </x:row>
    <x:row r="7">
      <x:c r="A7" s="13" t="str">
        <x:v>HY3基线</x:v>
      </x:c>
      <x:c r="B7" s="13" t="str">
        <x:v>4</x:v>
      </x:c>
      <x:c r="C7" s="13" t="str">
        <x:v>参数</x:v>
      </x:c>
      <x:c r="D7" s="13" t="str">
        <x:v>F25</x:v>
      </x:c>
      <x:c r="E7" s="13" t="str">
        <x:v>部分支持</x:v>
      </x:c>
      <x:c r="F7" s="19" t="str">
        <x:v>0.5</x:v>
      </x:c>
      <x:c r="G7" s="13" t="str">
        <x:v>将GLM-5.2参数写为未披露较谨慎，但未利用可复核模型卡补强</x:v>
      </x:c>
    </x:row>
    <x:row r="8">
      <x:c r="A8" s="13" t="str">
        <x:v>HY3基线</x:v>
      </x:c>
      <x:c r="B8" s="13" t="str">
        <x:v>5</x:v>
      </x:c>
      <x:c r="C8" s="13" t="str">
        <x:v>上下文</x:v>
      </x:c>
      <x:c r="D8" s="13" t="str">
        <x:v>F29</x:v>
      </x:c>
      <x:c r="E8" s="13" t="str">
        <x:v>正确</x:v>
      </x:c>
      <x:c r="F8" s="19" t="str">
        <x:v>1</x:v>
      </x:c>
      <x:c r="G8" s="13" t="str">
        <x:v>GLM-4.6 200K有官方博客支持</x:v>
      </x:c>
    </x:row>
    <x:row r="9">
      <x:c r="A9" s="13" t="str">
        <x:v>HY3基线</x:v>
      </x:c>
      <x:c r="B9" s="13" t="str">
        <x:v>6</x:v>
      </x:c>
      <x:c r="C9" s="13" t="str">
        <x:v>上下文</x:v>
      </x:c>
      <x:c r="D9" s="13" t="str">
        <x:v>F32</x:v>
      </x:c>
      <x:c r="E9" s="13" t="str">
        <x:v>正确</x:v>
      </x:c>
      <x:c r="F9" s="19" t="str">
        <x:v>1</x:v>
      </x:c>
      <x:c r="G9" s="13" t="str">
        <x:v>GLM-5.2 1M上下文有官方发布口径</x:v>
      </x:c>
    </x:row>
    <x:row r="10">
      <x:c r="A10" s="13" t="str">
        <x:v>HY3基线</x:v>
      </x:c>
      <x:c r="B10" s="13" t="str">
        <x:v>7</x:v>
      </x:c>
      <x:c r="C10" s="13" t="str">
        <x:v>开源</x:v>
      </x:c>
      <x:c r="D10" s="13" t="str">
        <x:v>F40</x:v>
      </x:c>
      <x:c r="E10" s="13" t="str">
        <x:v>部分支持</x:v>
      </x:c>
      <x:c r="F10" s="19" t="str">
        <x:v>0.5</x:v>
      </x:c>
      <x:c r="G10" s="13" t="str">
        <x:v>多个版本被合并为统一MIT结论，许可证应逐版复核</x:v>
      </x:c>
    </x:row>
    <x:row r="11">
      <x:c r="A11" s="13" t="str">
        <x:v>HY3基线</x:v>
      </x:c>
      <x:c r="B11" s="13" t="str">
        <x:v>8</x:v>
      </x:c>
      <x:c r="C11" s="13" t="str">
        <x:v>基准</x:v>
      </x:c>
      <x:c r="D11" s="13" t="str">
        <x:v>F44</x:v>
      </x:c>
      <x:c r="E11" s="13" t="str">
        <x:v>正确</x:v>
      </x:c>
      <x:c r="F11" s="19" t="str">
        <x:v>1</x:v>
      </x:c>
      <x:c r="G11" s="13" t="str">
        <x:v>明确记录中文与英文口径差异</x:v>
      </x:c>
    </x:row>
    <x:row r="12">
      <x:c r="A12" s="13" t="str">
        <x:v>HY3基线</x:v>
      </x:c>
      <x:c r="B12" s="13" t="str">
        <x:v>9</x:v>
      </x:c>
      <x:c r="C12" s="13" t="str">
        <x:v>基准</x:v>
      </x:c>
      <x:c r="D12" s="13" t="str">
        <x:v>F51</x:v>
      </x:c>
      <x:c r="E12" s="13" t="str">
        <x:v>错误或无法支持</x:v>
      </x:c>
      <x:c r="F12" s="19" t="str">
        <x:v>0</x:v>
      </x:c>
      <x:c r="G12" s="13" t="str">
        <x:v>榜单名次使用媒体转述且未标明复核时点</x:v>
      </x:c>
    </x:row>
    <x:row r="13">
      <x:c r="A13" s="13" t="str">
        <x:v>HY3基线</x:v>
      </x:c>
      <x:c r="B13" s="13" t="str">
        <x:v>10</x:v>
      </x:c>
      <x:c r="C13" s="13" t="str">
        <x:v>生态</x:v>
      </x:c>
      <x:c r="D13" s="13" t="str">
        <x:v>F66</x:v>
      </x:c>
      <x:c r="E13" s="13" t="str">
        <x:v>正确</x:v>
      </x:c>
      <x:c r="F13" s="19" t="str">
        <x:v>1</x:v>
      </x:c>
      <x:c r="G13" s="13" t="str">
        <x:v>公司财务事实标注媒体与年报线索</x:v>
      </x:c>
    </x:row>
    <x:row r="14">
      <x:c r="A14" s="13" t="str">
        <x:v>HY3基线</x:v>
      </x:c>
      <x:c r="B14" s="13" t="str">
        <x:v>11</x:v>
      </x:c>
      <x:c r="C14" s="13" t="str">
        <x:v>生态</x:v>
      </x:c>
      <x:c r="D14" s="13" t="str">
        <x:v>F68</x:v>
      </x:c>
      <x:c r="E14" s="13" t="str">
        <x:v>部分支持</x:v>
      </x:c>
      <x:c r="F14" s="19" t="str">
        <x:v>0.5</x:v>
      </x:c>
      <x:c r="G14" s="13" t="str">
        <x:v>涨价与调用量关系为媒体叙述，因果表述偏强</x:v>
      </x:c>
    </x:row>
    <x:row r="15">
      <x:c r="A15" s="13" t="str">
        <x:v>HY3基线</x:v>
      </x:c>
      <x:c r="B15" s="13" t="str">
        <x:v>12</x:v>
      </x:c>
      <x:c r="C15" s="13" t="str">
        <x:v>能力升级</x:v>
      </x:c>
      <x:c r="D15" s="13" t="str">
        <x:v>F62</x:v>
      </x:c>
      <x:c r="E15" s="13" t="str">
        <x:v>正确</x:v>
      </x:c>
      <x:c r="F15" s="19" t="str">
        <x:v>1</x:v>
      </x:c>
      <x:c r="G15" s="13" t="str">
        <x:v>能力表述与官方研究文一致</x:v>
      </x:c>
    </x:row>
    <x:row r="16">
      <x:c r="A16" s="13" t="str">
        <x:v>HY3基线</x:v>
      </x:c>
      <x:c r="B16" s="13" t="str">
        <x:v>13</x:v>
      </x:c>
      <x:c r="C16" s="13" t="str">
        <x:v>发布时间</x:v>
      </x:c>
      <x:c r="D16" s="13" t="str">
        <x:v>F14</x:v>
      </x:c>
      <x:c r="E16" s="13" t="str">
        <x:v>正确</x:v>
      </x:c>
      <x:c r="F16" s="19" t="str">
        <x:v>1</x:v>
      </x:c>
      <x:c r="G16" s="13" t="str">
        <x:v>主动处理GLM-4.7日期冲突</x:v>
      </x:c>
    </x:row>
    <x:row r="17">
      <x:c r="A17" s="13" t="str">
        <x:v>HY3基线</x:v>
      </x:c>
      <x:c r="B17" s="13" t="str">
        <x:v>14</x:v>
      </x:c>
      <x:c r="C17" s="13" t="str">
        <x:v>参数</x:v>
      </x:c>
      <x:c r="D17" s="13" t="str">
        <x:v>F21</x:v>
      </x:c>
      <x:c r="E17" s="13" t="str">
        <x:v>正确</x:v>
      </x:c>
      <x:c r="F17" s="19" t="str">
        <x:v>1</x:v>
      </x:c>
      <x:c r="G17" s="13" t="str">
        <x:v>GLM-4参数未披露的处理正确</x:v>
      </x:c>
    </x:row>
    <x:row r="18">
      <x:c r="A18" s="13" t="str">
        <x:v>HY3基线</x:v>
      </x:c>
      <x:c r="B18" s="13" t="str">
        <x:v>15</x:v>
      </x:c>
      <x:c r="C18" s="13" t="str">
        <x:v>上下文</x:v>
      </x:c>
      <x:c r="D18" s="13" t="str">
        <x:v>F33</x:v>
      </x:c>
      <x:c r="E18" s="13" t="str">
        <x:v>正确</x:v>
      </x:c>
      <x:c r="F18" s="19" t="str">
        <x:v>1</x:v>
      </x:c>
      <x:c r="G18" s="13" t="str">
        <x:v>模型卡可直接支持1M版本</x:v>
      </x:c>
    </x:row>
    <x:row r="19">
      <x:c r="A19" s="13" t="str">
        <x:v>HY3基线</x:v>
      </x:c>
      <x:c r="B19" s="13" t="str">
        <x:v>16</x:v>
      </x:c>
      <x:c r="C19" s="13" t="str">
        <x:v>开源</x:v>
      </x:c>
      <x:c r="D19" s="13" t="str">
        <x:v>F39</x:v>
      </x:c>
      <x:c r="E19" s="13" t="str">
        <x:v>部分支持</x:v>
      </x:c>
      <x:c r="F19" s="19" t="str">
        <x:v>0.5</x:v>
      </x:c>
      <x:c r="G19" s="13" t="str">
        <x:v>闭源判断合理但来源不是直接产品许可页</x:v>
      </x:c>
    </x:row>
    <x:row r="20">
      <x:c r="A20" s="13" t="str">
        <x:v>HY3基线</x:v>
      </x:c>
      <x:c r="B20" s="13" t="str">
        <x:v>17</x:v>
      </x:c>
      <x:c r="C20" s="13" t="str">
        <x:v>基准</x:v>
      </x:c>
      <x:c r="D20" s="13" t="str">
        <x:v>F47</x:v>
      </x:c>
      <x:c r="E20" s="13" t="str">
        <x:v>正确</x:v>
      </x:c>
      <x:c r="F20" s="19" t="str">
        <x:v>1</x:v>
      </x:c>
      <x:c r="G20" s="13" t="str">
        <x:v>指标与官方博客对应</x:v>
      </x:c>
    </x:row>
    <x:row r="21">
      <x:c r="A21" s="13" t="str">
        <x:v>HY3基线</x:v>
      </x:c>
      <x:c r="B21" s="13" t="str">
        <x:v>18</x:v>
      </x:c>
      <x:c r="C21" s="13" t="str">
        <x:v>产品</x:v>
      </x:c>
      <x:c r="D21" s="13" t="str">
        <x:v>F54</x:v>
      </x:c>
      <x:c r="E21" s="13" t="str">
        <x:v>正确</x:v>
      </x:c>
      <x:c r="F21" s="19" t="str">
        <x:v>1</x:v>
      </x:c>
      <x:c r="G21" s="13" t="str">
        <x:v>官方文档可支持平台与API信息</x:v>
      </x:c>
    </x:row>
    <x:row r="22">
      <x:c r="A22" s="13" t="str">
        <x:v>HY3基线</x:v>
      </x:c>
      <x:c r="B22" s="13" t="str">
        <x:v>19</x:v>
      </x:c>
      <x:c r="C22" s="13" t="str">
        <x:v>价格</x:v>
      </x:c>
      <x:c r="D22" s="13" t="str">
        <x:v>F55</x:v>
      </x:c>
      <x:c r="E22" s="13" t="str">
        <x:v>正确</x:v>
      </x:c>
      <x:c r="F22" s="19" t="str">
        <x:v>1</x:v>
      </x:c>
      <x:c r="G22" s="13" t="str">
        <x:v>引用官方定价页</x:v>
      </x:c>
    </x:row>
    <x:row r="23">
      <x:c r="A23" s="13" t="str">
        <x:v>HY3基线</x:v>
      </x:c>
      <x:c r="B23" s="13" t="str">
        <x:v>20</x:v>
      </x:c>
      <x:c r="C23" s="13" t="str">
        <x:v>能力升级</x:v>
      </x:c>
      <x:c r="D23" s="13" t="str">
        <x:v>F60</x:v>
      </x:c>
      <x:c r="E23" s="13" t="str">
        <x:v>正确</x:v>
      </x:c>
      <x:c r="F23" s="19" t="str">
        <x:v>1</x:v>
      </x:c>
      <x:c r="G23" s="13" t="str">
        <x:v>官方文档支持混合推理控制</x:v>
      </x:c>
    </x:row>
    <x:row r="24">
      <x:c r="A24" s="13" t="str">
        <x:v>HY3基线</x:v>
      </x:c>
      <x:c r="B24" s="13" t="str">
        <x:v>21</x:v>
      </x:c>
      <x:c r="C24" s="13" t="str">
        <x:v>发布时间</x:v>
      </x:c>
      <x:c r="D24" s="13" t="str">
        <x:v>F03</x:v>
      </x:c>
      <x:c r="E24" s="13" t="str">
        <x:v>正确</x:v>
      </x:c>
      <x:c r="F24" s="19" t="str">
        <x:v>1</x:v>
      </x:c>
      <x:c r="G24" s="13" t="str">
        <x:v>时间与技术报告一致</x:v>
      </x:c>
    </x:row>
    <x:row r="25">
      <x:c r="A25" s="13" t="str">
        <x:v>HY3基线</x:v>
      </x:c>
      <x:c r="B25" s="13" t="str">
        <x:v>22</x:v>
      </x:c>
      <x:c r="C25" s="13" t="str">
        <x:v>参数</x:v>
      </x:c>
      <x:c r="D25" s="13" t="str">
        <x:v>F23</x:v>
      </x:c>
      <x:c r="E25" s="13" t="str">
        <x:v>正确</x:v>
      </x:c>
      <x:c r="F25" s="19" t="str">
        <x:v>1</x:v>
      </x:c>
      <x:c r="G25" s="13" t="str">
        <x:v>GLM-5参数有官方研究文支持</x:v>
      </x:c>
    </x:row>
    <x:row r="26">
      <x:c r="A26" s="13" t="str">
        <x:v>HY3基线</x:v>
      </x:c>
      <x:c r="B26" s="13" t="str">
        <x:v>23</x:v>
      </x:c>
      <x:c r="C26" s="13" t="str">
        <x:v>基准</x:v>
      </x:c>
      <x:c r="D26" s="13" t="str">
        <x:v>F52</x:v>
      </x:c>
      <x:c r="E26" s="13" t="str">
        <x:v>正确</x:v>
      </x:c>
      <x:c r="F26" s="19" t="str">
        <x:v>1</x:v>
      </x:c>
      <x:c r="G26" s="13" t="str">
        <x:v>引用官方研究文并注明口径</x:v>
      </x:c>
    </x:row>
    <x:row r="27">
      <x:c r="A27" s="13" t="str">
        <x:v>HY3基线</x:v>
      </x:c>
      <x:c r="B27" s="13" t="str">
        <x:v>24</x:v>
      </x:c>
      <x:c r="C27" s="13" t="str">
        <x:v>生态</x:v>
      </x:c>
      <x:c r="D27" s="13" t="str">
        <x:v>F67</x:v>
      </x:c>
      <x:c r="E27" s="13" t="str">
        <x:v>正确</x:v>
      </x:c>
      <x:c r="F27" s="19" t="str">
        <x:v>1</x:v>
      </x:c>
      <x:c r="G27" s="13" t="str">
        <x:v>实体清单事件可被公开资料支持</x:v>
      </x:c>
    </x:row>
    <x:row r="28">
      <x:c r="A28" s="13" t="str">
        <x:v>HY3基线</x:v>
      </x:c>
      <x:c r="B28" s="13" t="str">
        <x:v>25</x:v>
      </x:c>
      <x:c r="C28" s="13" t="str">
        <x:v>模态</x:v>
      </x:c>
      <x:c r="D28" s="13" t="str">
        <x:v>F36</x:v>
      </x:c>
      <x:c r="E28" s="13" t="str">
        <x:v>错误或无法支持</x:v>
      </x:c>
      <x:c r="F28" s="19" t="str">
        <x:v>0</x:v>
      </x:c>
      <x:c r="G28" s="13" t="str">
        <x:v>功能集合主要依赖媒体转述且缺少直接技术说明</x:v>
      </x:c>
    </x:row>
    <x:row r="29">
      <x:c r="A29" s="13" t="str">
        <x:v>HY3基线</x:v>
      </x:c>
      <x:c r="B29" s="13" t="str">
        <x:v>26</x:v>
      </x:c>
      <x:c r="C29" s="13" t="str">
        <x:v>发布时间</x:v>
      </x:c>
      <x:c r="D29" s="13" t="str">
        <x:v>F10</x:v>
      </x:c>
      <x:c r="E29" s="13" t="str">
        <x:v>正确</x:v>
      </x:c>
      <x:c r="F29" s="19" t="str">
        <x:v>1</x:v>
      </x:c>
      <x:c r="G29" s="13" t="str">
        <x:v>模型发布信息可复核</x:v>
      </x:c>
    </x:row>
    <x:row r="30">
      <x:c r="A30" s="13" t="str">
        <x:v>HY3基线</x:v>
      </x:c>
      <x:c r="B30" s="13" t="str">
        <x:v>27</x:v>
      </x:c>
      <x:c r="C30" s="13" t="str">
        <x:v>开源</x:v>
      </x:c>
      <x:c r="D30" s="13" t="str">
        <x:v>F41</x:v>
      </x:c>
      <x:c r="E30" s="13" t="str">
        <x:v>正确</x:v>
      </x:c>
      <x:c r="F30" s="19" t="str">
        <x:v>1</x:v>
      </x:c>
      <x:c r="G30" s="13" t="str">
        <x:v>许可结论与公开仓库一致</x:v>
      </x:c>
    </x:row>
    <x:row r="31">
      <x:c r="A31" s="13" t="str">
        <x:v>HY3基线</x:v>
      </x:c>
      <x:c r="B31" s="13" t="str">
        <x:v>28</x:v>
      </x:c>
      <x:c r="C31" s="13" t="str">
        <x:v>基准</x:v>
      </x:c>
      <x:c r="D31" s="13" t="str">
        <x:v>F48</x:v>
      </x:c>
      <x:c r="E31" s="13" t="str">
        <x:v>正确</x:v>
      </x:c>
      <x:c r="F31" s="19" t="str">
        <x:v>1</x:v>
      </x:c>
      <x:c r="G31" s="13" t="str">
        <x:v>官方博客直接支持</x:v>
      </x:c>
    </x:row>
    <x:row r="32">
      <x:c r="A32" s="13" t="str">
        <x:v>HY3基线</x:v>
      </x:c>
      <x:c r="B32" s="13" t="str">
        <x:v>29</x:v>
      </x:c>
      <x:c r="C32" s="13" t="str">
        <x:v>价格</x:v>
      </x:c>
      <x:c r="D32" s="13" t="str">
        <x:v>F58</x:v>
      </x:c>
      <x:c r="E32" s="13" t="str">
        <x:v>部分支持</x:v>
      </x:c>
      <x:c r="F32" s="19" t="str">
        <x:v>0.5</x:v>
      </x:c>
      <x:c r="G32" s="13" t="str">
        <x:v>跨站价格与币种口径不宜直接并列</x:v>
      </x:c>
    </x:row>
    <x:row r="33">
      <x:c r="A33" s="13" t="str">
        <x:v>HY3基线</x:v>
      </x:c>
      <x:c r="B33" s="13" t="str">
        <x:v>30</x:v>
      </x:c>
      <x:c r="C33" s="13" t="str">
        <x:v>能力升级</x:v>
      </x:c>
      <x:c r="D33" s="13" t="str">
        <x:v>F63</x:v>
      </x:c>
      <x:c r="E33" s="13" t="str">
        <x:v>正确</x:v>
      </x:c>
      <x:c r="F33" s="19" t="str">
        <x:v>1</x:v>
      </x:c>
      <x:c r="G33" s="13" t="str">
        <x:v>研究文直接支持关键架构说明</x:v>
      </x:c>
    </x:row>
    <x:row r="34">
      <x:c r="A34" s="13" t="str">
        <x:v>Auto模型</x:v>
      </x:c>
      <x:c r="B34" s="13" t="str">
        <x:v>1</x:v>
      </x:c>
      <x:c r="C34" s="13" t="str">
        <x:v>发布时间</x:v>
      </x:c>
      <x:c r="D34" s="13" t="str">
        <x:v>F01</x:v>
      </x:c>
      <x:c r="E34" s="13" t="str">
        <x:v>正确</x:v>
      </x:c>
      <x:c r="F34" s="19" t="str">
        <x:v>1</x:v>
      </x:c>
      <x:c r="G34" s="13" t="str">
        <x:v>GLM框架与GLM-10B时间线有官方来源</x:v>
      </x:c>
    </x:row>
    <x:row r="35">
      <x:c r="A35" s="13" t="str">
        <x:v>Auto模型</x:v>
      </x:c>
      <x:c r="B35" s="13" t="str">
        <x:v>2</x:v>
      </x:c>
      <x:c r="C35" s="13" t="str">
        <x:v>发布时间</x:v>
      </x:c>
      <x:c r="D35" s="13" t="str">
        <x:v>F06</x:v>
      </x:c>
      <x:c r="E35" s="13" t="str">
        <x:v>正确</x:v>
      </x:c>
      <x:c r="F35" s="19" t="str">
        <x:v>1</x:v>
      </x:c>
      <x:c r="G35" s="13" t="str">
        <x:v>GLM-4发布日期与公开报道一致</x:v>
      </x:c>
    </x:row>
    <x:row r="36">
      <x:c r="A36" s="13" t="str">
        <x:v>Auto模型</x:v>
      </x:c>
      <x:c r="B36" s="13" t="str">
        <x:v>3</x:v>
      </x:c>
      <x:c r="C36" s="13" t="str">
        <x:v>参数</x:v>
      </x:c>
      <x:c r="D36" s="13" t="str">
        <x:v>F22</x:v>
      </x:c>
      <x:c r="E36" s="13" t="str">
        <x:v>正确</x:v>
      </x:c>
      <x:c r="F36" s="19" t="str">
        <x:v>1</x:v>
      </x:c>
      <x:c r="G36" s="13" t="str">
        <x:v>GLM-4.5参数有官方文档支持</x:v>
      </x:c>
    </x:row>
    <x:row r="37">
      <x:c r="A37" s="13" t="str">
        <x:v>Auto模型</x:v>
      </x:c>
      <x:c r="B37" s="13" t="str">
        <x:v>4</x:v>
      </x:c>
      <x:c r="C37" s="13" t="str">
        <x:v>参数</x:v>
      </x:c>
      <x:c r="D37" s="13" t="str">
        <x:v>F25</x:v>
      </x:c>
      <x:c r="E37" s="13" t="str">
        <x:v>部分支持</x:v>
      </x:c>
      <x:c r="F37" s="19" t="str">
        <x:v>0.5</x:v>
      </x:c>
      <x:c r="G37" s="13" t="str">
        <x:v>将GLM-5.2参数写为未披露较谨慎，但未利用可复核模型卡补强</x:v>
      </x:c>
    </x:row>
    <x:row r="38">
      <x:c r="A38" s="13" t="str">
        <x:v>Auto模型</x:v>
      </x:c>
      <x:c r="B38" s="13" t="str">
        <x:v>5</x:v>
      </x:c>
      <x:c r="C38" s="13" t="str">
        <x:v>上下文</x:v>
      </x:c>
      <x:c r="D38" s="13" t="str">
        <x:v>F29</x:v>
      </x:c>
      <x:c r="E38" s="13" t="str">
        <x:v>正确</x:v>
      </x:c>
      <x:c r="F38" s="19" t="str">
        <x:v>1</x:v>
      </x:c>
      <x:c r="G38" s="13" t="str">
        <x:v>GLM-4.6 200K有官方博客支持</x:v>
      </x:c>
    </x:row>
    <x:row r="39">
      <x:c r="A39" s="13" t="str">
        <x:v>Auto模型</x:v>
      </x:c>
      <x:c r="B39" s="13" t="str">
        <x:v>6</x:v>
      </x:c>
      <x:c r="C39" s="13" t="str">
        <x:v>上下文</x:v>
      </x:c>
      <x:c r="D39" s="13" t="str">
        <x:v>F32</x:v>
      </x:c>
      <x:c r="E39" s="13" t="str">
        <x:v>正确</x:v>
      </x:c>
      <x:c r="F39" s="19" t="str">
        <x:v>1</x:v>
      </x:c>
      <x:c r="G39" s="13" t="str">
        <x:v>GLM-5.2 1M上下文有官方发布口径</x:v>
      </x:c>
    </x:row>
    <x:row r="40">
      <x:c r="A40" s="13" t="str">
        <x:v>Auto模型</x:v>
      </x:c>
      <x:c r="B40" s="13" t="str">
        <x:v>7</x:v>
      </x:c>
      <x:c r="C40" s="13" t="str">
        <x:v>开源</x:v>
      </x:c>
      <x:c r="D40" s="13" t="str">
        <x:v>F40</x:v>
      </x:c>
      <x:c r="E40" s="13" t="str">
        <x:v>部分支持</x:v>
      </x:c>
      <x:c r="F40" s="19" t="str">
        <x:v>0.5</x:v>
      </x:c>
      <x:c r="G40" s="13" t="str">
        <x:v>多个版本被合并为统一MIT结论，许可证应逐版复核</x:v>
      </x:c>
    </x:row>
    <x:row r="41">
      <x:c r="A41" s="13" t="str">
        <x:v>Auto模型</x:v>
      </x:c>
      <x:c r="B41" s="13" t="str">
        <x:v>8</x:v>
      </x:c>
      <x:c r="C41" s="13" t="str">
        <x:v>基准</x:v>
      </x:c>
      <x:c r="D41" s="13" t="str">
        <x:v>F44</x:v>
      </x:c>
      <x:c r="E41" s="13" t="str">
        <x:v>正确</x:v>
      </x:c>
      <x:c r="F41" s="19" t="str">
        <x:v>1</x:v>
      </x:c>
      <x:c r="G41" s="13" t="str">
        <x:v>明确记录中文与英文口径差异</x:v>
      </x:c>
    </x:row>
    <x:row r="42">
      <x:c r="A42" s="13" t="str">
        <x:v>Auto模型</x:v>
      </x:c>
      <x:c r="B42" s="13" t="str">
        <x:v>9</x:v>
      </x:c>
      <x:c r="C42" s="13" t="str">
        <x:v>基准</x:v>
      </x:c>
      <x:c r="D42" s="13" t="str">
        <x:v>F51</x:v>
      </x:c>
      <x:c r="E42" s="13" t="str">
        <x:v>正确</x:v>
      </x:c>
      <x:c r="F42" s="19" t="str">
        <x:v>1</x:v>
      </x:c>
      <x:c r="G42" s="13" t="str">
        <x:v>榜单结论注明媒体口径和时间风险</x:v>
      </x:c>
    </x:row>
    <x:row r="43">
      <x:c r="A43" s="13" t="str">
        <x:v>Auto模型</x:v>
      </x:c>
      <x:c r="B43" s="13" t="str">
        <x:v>10</x:v>
      </x:c>
      <x:c r="C43" s="13" t="str">
        <x:v>生态</x:v>
      </x:c>
      <x:c r="D43" s="13" t="str">
        <x:v>F66</x:v>
      </x:c>
      <x:c r="E43" s="13" t="str">
        <x:v>正确</x:v>
      </x:c>
      <x:c r="F43" s="19" t="str">
        <x:v>1</x:v>
      </x:c>
      <x:c r="G43" s="13" t="str">
        <x:v>公司财务事实标注媒体与年报线索</x:v>
      </x:c>
    </x:row>
    <x:row r="44">
      <x:c r="A44" s="13" t="str">
        <x:v>Auto模型</x:v>
      </x:c>
      <x:c r="B44" s="13" t="str">
        <x:v>11</x:v>
      </x:c>
      <x:c r="C44" s="13" t="str">
        <x:v>生态</x:v>
      </x:c>
      <x:c r="D44" s="13" t="str">
        <x:v>F68</x:v>
      </x:c>
      <x:c r="E44" s="13" t="str">
        <x:v>部分支持</x:v>
      </x:c>
      <x:c r="F44" s="19" t="str">
        <x:v>0.5</x:v>
      </x:c>
      <x:c r="G44" s="13" t="str">
        <x:v>涨价与调用量关系为媒体叙述，因果表述偏强</x:v>
      </x:c>
    </x:row>
    <x:row r="45">
      <x:c r="A45" s="13" t="str">
        <x:v>Auto模型</x:v>
      </x:c>
      <x:c r="B45" s="13" t="str">
        <x:v>12</x:v>
      </x:c>
      <x:c r="C45" s="13" t="str">
        <x:v>能力升级</x:v>
      </x:c>
      <x:c r="D45" s="13" t="str">
        <x:v>F62</x:v>
      </x:c>
      <x:c r="E45" s="13" t="str">
        <x:v>正确</x:v>
      </x:c>
      <x:c r="F45" s="19" t="str">
        <x:v>1</x:v>
      </x:c>
      <x:c r="G45" s="13" t="str">
        <x:v>能力表述与官方研究文一致</x:v>
      </x:c>
    </x:row>
    <x:row r="46">
      <x:c r="A46" s="13" t="str">
        <x:v>Auto模型</x:v>
      </x:c>
      <x:c r="B46" s="13" t="str">
        <x:v>13</x:v>
      </x:c>
      <x:c r="C46" s="13" t="str">
        <x:v>发布时间</x:v>
      </x:c>
      <x:c r="D46" s="13" t="str">
        <x:v>F14</x:v>
      </x:c>
      <x:c r="E46" s="13" t="str">
        <x:v>正确</x:v>
      </x:c>
      <x:c r="F46" s="19" t="str">
        <x:v>1</x:v>
      </x:c>
      <x:c r="G46" s="13" t="str">
        <x:v>主动处理GLM-4.7日期冲突</x:v>
      </x:c>
    </x:row>
    <x:row r="47">
      <x:c r="A47" s="13" t="str">
        <x:v>Auto模型</x:v>
      </x:c>
      <x:c r="B47" s="13" t="str">
        <x:v>14</x:v>
      </x:c>
      <x:c r="C47" s="13" t="str">
        <x:v>参数</x:v>
      </x:c>
      <x:c r="D47" s="13" t="str">
        <x:v>F21</x:v>
      </x:c>
      <x:c r="E47" s="13" t="str">
        <x:v>正确</x:v>
      </x:c>
      <x:c r="F47" s="19" t="str">
        <x:v>1</x:v>
      </x:c>
      <x:c r="G47" s="13" t="str">
        <x:v>GLM-4参数未披露的处理正确</x:v>
      </x:c>
    </x:row>
    <x:row r="48">
      <x:c r="A48" s="13" t="str">
        <x:v>Auto模型</x:v>
      </x:c>
      <x:c r="B48" s="13" t="str">
        <x:v>15</x:v>
      </x:c>
      <x:c r="C48" s="13" t="str">
        <x:v>上下文</x:v>
      </x:c>
      <x:c r="D48" s="13" t="str">
        <x:v>F33</x:v>
      </x:c>
      <x:c r="E48" s="13" t="str">
        <x:v>正确</x:v>
      </x:c>
      <x:c r="F48" s="19" t="str">
        <x:v>1</x:v>
      </x:c>
      <x:c r="G48" s="13" t="str">
        <x:v>模型卡可直接支持1M版本</x:v>
      </x:c>
    </x:row>
    <x:row r="49">
      <x:c r="A49" s="13" t="str">
        <x:v>Auto模型</x:v>
      </x:c>
      <x:c r="B49" s="13" t="str">
        <x:v>16</x:v>
      </x:c>
      <x:c r="C49" s="13" t="str">
        <x:v>开源</x:v>
      </x:c>
      <x:c r="D49" s="13" t="str">
        <x:v>F39</x:v>
      </x:c>
      <x:c r="E49" s="13" t="str">
        <x:v>正确</x:v>
      </x:c>
      <x:c r="F49" s="19" t="str">
        <x:v>1</x:v>
      </x:c>
      <x:c r="G49" s="13" t="str">
        <x:v>闭源判断与官方产品开放方式相符</x:v>
      </x:c>
    </x:row>
    <x:row r="50">
      <x:c r="A50" s="13" t="str">
        <x:v>Auto模型</x:v>
      </x:c>
      <x:c r="B50" s="13" t="str">
        <x:v>17</x:v>
      </x:c>
      <x:c r="C50" s="13" t="str">
        <x:v>基准</x:v>
      </x:c>
      <x:c r="D50" s="13" t="str">
        <x:v>F47</x:v>
      </x:c>
      <x:c r="E50" s="13" t="str">
        <x:v>正确</x:v>
      </x:c>
      <x:c r="F50" s="19" t="str">
        <x:v>1</x:v>
      </x:c>
      <x:c r="G50" s="13" t="str">
        <x:v>指标与官方博客对应</x:v>
      </x:c>
    </x:row>
    <x:row r="51">
      <x:c r="A51" s="13" t="str">
        <x:v>Auto模型</x:v>
      </x:c>
      <x:c r="B51" s="13" t="str">
        <x:v>18</x:v>
      </x:c>
      <x:c r="C51" s="13" t="str">
        <x:v>产品</x:v>
      </x:c>
      <x:c r="D51" s="13" t="str">
        <x:v>F54</x:v>
      </x:c>
      <x:c r="E51" s="13" t="str">
        <x:v>正确</x:v>
      </x:c>
      <x:c r="F51" s="19" t="str">
        <x:v>1</x:v>
      </x:c>
      <x:c r="G51" s="13" t="str">
        <x:v>官方文档可支持平台与API信息</x:v>
      </x:c>
    </x:row>
    <x:row r="52">
      <x:c r="A52" s="13" t="str">
        <x:v>Auto模型</x:v>
      </x:c>
      <x:c r="B52" s="13" t="str">
        <x:v>19</x:v>
      </x:c>
      <x:c r="C52" s="13" t="str">
        <x:v>价格</x:v>
      </x:c>
      <x:c r="D52" s="13" t="str">
        <x:v>F55</x:v>
      </x:c>
      <x:c r="E52" s="13" t="str">
        <x:v>正确</x:v>
      </x:c>
      <x:c r="F52" s="19" t="str">
        <x:v>1</x:v>
      </x:c>
      <x:c r="G52" s="13" t="str">
        <x:v>引用官方定价页</x:v>
      </x:c>
    </x:row>
    <x:row r="53">
      <x:c r="A53" s="13" t="str">
        <x:v>Auto模型</x:v>
      </x:c>
      <x:c r="B53" s="13" t="str">
        <x:v>20</x:v>
      </x:c>
      <x:c r="C53" s="13" t="str">
        <x:v>能力升级</x:v>
      </x:c>
      <x:c r="D53" s="13" t="str">
        <x:v>F60</x:v>
      </x:c>
      <x:c r="E53" s="13" t="str">
        <x:v>正确</x:v>
      </x:c>
      <x:c r="F53" s="19" t="str">
        <x:v>1</x:v>
      </x:c>
      <x:c r="G53" s="13" t="str">
        <x:v>官方文档支持混合推理控制</x:v>
      </x:c>
    </x:row>
    <x:row r="54">
      <x:c r="A54" s="13" t="str">
        <x:v>Auto模型</x:v>
      </x:c>
      <x:c r="B54" s="13" t="str">
        <x:v>21</x:v>
      </x:c>
      <x:c r="C54" s="13" t="str">
        <x:v>发布时间</x:v>
      </x:c>
      <x:c r="D54" s="13" t="str">
        <x:v>F03</x:v>
      </x:c>
      <x:c r="E54" s="13" t="str">
        <x:v>正确</x:v>
      </x:c>
      <x:c r="F54" s="19" t="str">
        <x:v>1</x:v>
      </x:c>
      <x:c r="G54" s="13" t="str">
        <x:v>时间与技术报告一致</x:v>
      </x:c>
    </x:row>
    <x:row r="55">
      <x:c r="A55" s="13" t="str">
        <x:v>Auto模型</x:v>
      </x:c>
      <x:c r="B55" s="13" t="str">
        <x:v>22</x:v>
      </x:c>
      <x:c r="C55" s="13" t="str">
        <x:v>参数</x:v>
      </x:c>
      <x:c r="D55" s="13" t="str">
        <x:v>F23</x:v>
      </x:c>
      <x:c r="E55" s="13" t="str">
        <x:v>正确</x:v>
      </x:c>
      <x:c r="F55" s="19" t="str">
        <x:v>1</x:v>
      </x:c>
      <x:c r="G55" s="13" t="str">
        <x:v>GLM-5参数有官方研究文支持</x:v>
      </x:c>
    </x:row>
    <x:row r="56">
      <x:c r="A56" s="13" t="str">
        <x:v>Auto模型</x:v>
      </x:c>
      <x:c r="B56" s="13" t="str">
        <x:v>23</x:v>
      </x:c>
      <x:c r="C56" s="13" t="str">
        <x:v>基准</x:v>
      </x:c>
      <x:c r="D56" s="13" t="str">
        <x:v>F52</x:v>
      </x:c>
      <x:c r="E56" s="13" t="str">
        <x:v>正确</x:v>
      </x:c>
      <x:c r="F56" s="19" t="str">
        <x:v>1</x:v>
      </x:c>
      <x:c r="G56" s="13" t="str">
        <x:v>引用官方研究文并注明口径</x:v>
      </x:c>
    </x:row>
    <x:row r="57">
      <x:c r="A57" s="13" t="str">
        <x:v>Auto模型</x:v>
      </x:c>
      <x:c r="B57" s="13" t="str">
        <x:v>24</x:v>
      </x:c>
      <x:c r="C57" s="13" t="str">
        <x:v>生态</x:v>
      </x:c>
      <x:c r="D57" s="13" t="str">
        <x:v>F67</x:v>
      </x:c>
      <x:c r="E57" s="13" t="str">
        <x:v>正确</x:v>
      </x:c>
      <x:c r="F57" s="19" t="str">
        <x:v>1</x:v>
      </x:c>
      <x:c r="G57" s="13" t="str">
        <x:v>实体清单事件可被公开资料支持</x:v>
      </x:c>
    </x:row>
    <x:row r="58">
      <x:c r="A58" s="13" t="str">
        <x:v>Auto模型</x:v>
      </x:c>
      <x:c r="B58" s="13" t="str">
        <x:v>25</x:v>
      </x:c>
      <x:c r="C58" s="13" t="str">
        <x:v>模态</x:v>
      </x:c>
      <x:c r="D58" s="13" t="str">
        <x:v>F36</x:v>
      </x:c>
      <x:c r="E58" s="13" t="str">
        <x:v>正确</x:v>
      </x:c>
      <x:c r="F58" s="19" t="str">
        <x:v>1</x:v>
      </x:c>
      <x:c r="G58" s="13" t="str">
        <x:v>功能集合与公开产品说明一致</x:v>
      </x:c>
    </x:row>
    <x:row r="59">
      <x:c r="A59" s="13" t="str">
        <x:v>Auto模型</x:v>
      </x:c>
      <x:c r="B59" s="13" t="str">
        <x:v>26</x:v>
      </x:c>
      <x:c r="C59" s="13" t="str">
        <x:v>发布时间</x:v>
      </x:c>
      <x:c r="D59" s="13" t="str">
        <x:v>F10</x:v>
      </x:c>
      <x:c r="E59" s="13" t="str">
        <x:v>正确</x:v>
      </x:c>
      <x:c r="F59" s="19" t="str">
        <x:v>1</x:v>
      </x:c>
      <x:c r="G59" s="13" t="str">
        <x:v>模型发布信息可复核</x:v>
      </x:c>
    </x:row>
    <x:row r="60">
      <x:c r="A60" s="13" t="str">
        <x:v>Auto模型</x:v>
      </x:c>
      <x:c r="B60" s="13" t="str">
        <x:v>27</x:v>
      </x:c>
      <x:c r="C60" s="13" t="str">
        <x:v>开源</x:v>
      </x:c>
      <x:c r="D60" s="13" t="str">
        <x:v>F41</x:v>
      </x:c>
      <x:c r="E60" s="13" t="str">
        <x:v>正确</x:v>
      </x:c>
      <x:c r="F60" s="19" t="str">
        <x:v>1</x:v>
      </x:c>
      <x:c r="G60" s="13" t="str">
        <x:v>许可结论与公开仓库一致</x:v>
      </x:c>
    </x:row>
    <x:row r="61">
      <x:c r="A61" s="13" t="str">
        <x:v>Auto模型</x:v>
      </x:c>
      <x:c r="B61" s="13" t="str">
        <x:v>28</x:v>
      </x:c>
      <x:c r="C61" s="13" t="str">
        <x:v>基准</x:v>
      </x:c>
      <x:c r="D61" s="13" t="str">
        <x:v>F48</x:v>
      </x:c>
      <x:c r="E61" s="13" t="str">
        <x:v>正确</x:v>
      </x:c>
      <x:c r="F61" s="19" t="str">
        <x:v>1</x:v>
      </x:c>
      <x:c r="G61" s="13" t="str">
        <x:v>官方博客直接支持</x:v>
      </x:c>
    </x:row>
    <x:row r="62">
      <x:c r="A62" s="13" t="str">
        <x:v>Auto模型</x:v>
      </x:c>
      <x:c r="B62" s="13" t="str">
        <x:v>29</x:v>
      </x:c>
      <x:c r="C62" s="13" t="str">
        <x:v>价格</x:v>
      </x:c>
      <x:c r="D62" s="13" t="str">
        <x:v>F58</x:v>
      </x:c>
      <x:c r="E62" s="13" t="str">
        <x:v>部分支持</x:v>
      </x:c>
      <x:c r="F62" s="19" t="str">
        <x:v>0.5</x:v>
      </x:c>
      <x:c r="G62" s="13" t="str">
        <x:v>跨站价格与币种口径不宜直接并列</x:v>
      </x:c>
    </x:row>
    <x:row r="63">
      <x:c r="A63" s="13" t="str">
        <x:v>Auto模型</x:v>
      </x:c>
      <x:c r="B63" s="13" t="str">
        <x:v>30</x:v>
      </x:c>
      <x:c r="C63" s="13" t="str">
        <x:v>能力升级</x:v>
      </x:c>
      <x:c r="D63" s="13" t="str">
        <x:v>F63</x:v>
      </x:c>
      <x:c r="E63" s="13" t="str">
        <x:v>正确</x:v>
      </x:c>
      <x:c r="F63" s="19" t="str">
        <x:v>1</x:v>
      </x:c>
      <x:c r="G63" s="13" t="str">
        <x:v>研究文直接支持关键架构说明</x:v>
      </x:c>
    </x:row>
    <x:row r="64">
      <x:c r="A64" s="13" t="str">
        <x:v>DeepSeek V4 Flash</x:v>
      </x:c>
      <x:c r="B64" s="13" t="str">
        <x:v>1</x:v>
      </x:c>
      <x:c r="C64" s="13" t="str">
        <x:v>发布时间</x:v>
      </x:c>
      <x:c r="D64" s="13" t="str">
        <x:v>F02</x:v>
      </x:c>
      <x:c r="E64" s="13" t="str">
        <x:v>正确</x:v>
      </x:c>
      <x:c r="F64" s="19" t="str">
        <x:v>1</x:v>
      </x:c>
      <x:c r="G64" s="13" t="str">
        <x:v>GLM框架时间线有官方来源</x:v>
      </x:c>
    </x:row>
    <x:row r="65">
      <x:c r="A65" s="13" t="str">
        <x:v>DeepSeek V4 Flash</x:v>
      </x:c>
      <x:c r="B65" s="13" t="str">
        <x:v>2</x:v>
      </x:c>
      <x:c r="C65" s="13" t="str">
        <x:v>发布时间</x:v>
      </x:c>
      <x:c r="D65" s="13" t="str">
        <x:v>F19</x:v>
      </x:c>
      <x:c r="E65" s="13" t="str">
        <x:v>正确</x:v>
      </x:c>
      <x:c r="F65" s="19" t="str">
        <x:v>1</x:v>
      </x:c>
      <x:c r="G65" s="13" t="str">
        <x:v>GLM-4发布日期有公开报道支持</x:v>
      </x:c>
    </x:row>
    <x:row r="66">
      <x:c r="A66" s="13" t="str">
        <x:v>DeepSeek V4 Flash</x:v>
      </x:c>
      <x:c r="B66" s="13" t="str">
        <x:v>3</x:v>
      </x:c>
      <x:c r="C66" s="13" t="str">
        <x:v>参数</x:v>
      </x:c>
      <x:c r="D66" s="13" t="str">
        <x:v>F42</x:v>
      </x:c>
      <x:c r="E66" s="13" t="str">
        <x:v>正确</x:v>
      </x:c>
      <x:c r="F66" s="19" t="str">
        <x:v>1</x:v>
      </x:c>
      <x:c r="G66" s="13" t="str">
        <x:v>GLM-4.5参数有论文和官方发布支持</x:v>
      </x:c>
    </x:row>
    <x:row r="67">
      <x:c r="A67" s="13" t="str">
        <x:v>DeepSeek V4 Flash</x:v>
      </x:c>
      <x:c r="B67" s="13" t="str">
        <x:v>4</x:v>
      </x:c>
      <x:c r="C67" s="13" t="str">
        <x:v>参数</x:v>
      </x:c>
      <x:c r="D67" s="13" t="str">
        <x:v>F65</x:v>
      </x:c>
      <x:c r="E67" s="13" t="str">
        <x:v>部分支持</x:v>
      </x:c>
      <x:c r="F67" s="19" t="str">
        <x:v>0.5</x:v>
      </x:c>
      <x:c r="G67" s="13" t="str">
        <x:v>744B/40B明确标为第三方口径而非官方披露</x:v>
      </x:c>
    </x:row>
    <x:row r="68">
      <x:c r="A68" s="13" t="str">
        <x:v>DeepSeek V4 Flash</x:v>
      </x:c>
      <x:c r="B68" s="13" t="str">
        <x:v>5</x:v>
      </x:c>
      <x:c r="C68" s="13" t="str">
        <x:v>上下文</x:v>
      </x:c>
      <x:c r="D68" s="13" t="str">
        <x:v>F52</x:v>
      </x:c>
      <x:c r="E68" s="13" t="str">
        <x:v>正确</x:v>
      </x:c>
      <x:c r="F68" s="19" t="str">
        <x:v>1</x:v>
      </x:c>
      <x:c r="G68" s="13" t="str">
        <x:v>GLM-4.6 200K有官方文档支持</x:v>
      </x:c>
    </x:row>
    <x:row r="69">
      <x:c r="A69" s="13" t="str">
        <x:v>DeepSeek V4 Flash</x:v>
      </x:c>
      <x:c r="B69" s="13" t="str">
        <x:v>6</x:v>
      </x:c>
      <x:c r="C69" s="13" t="str">
        <x:v>上下文</x:v>
      </x:c>
      <x:c r="D69" s="13" t="str">
        <x:v>F72</x:v>
      </x:c>
      <x:c r="E69" s="13" t="str">
        <x:v>正确</x:v>
      </x:c>
      <x:c r="F69" s="19" t="str">
        <x:v>1</x:v>
      </x:c>
      <x:c r="G69" s="13" t="str">
        <x:v>GLM-5.2 1M上下文有官方发布口径</x:v>
      </x:c>
    </x:row>
    <x:row r="70">
      <x:c r="A70" s="13" t="str">
        <x:v>DeepSeek V4 Flash</x:v>
      </x:c>
      <x:c r="B70" s="13" t="str">
        <x:v>7</x:v>
      </x:c>
      <x:c r="C70" s="13" t="str">
        <x:v>开源</x:v>
      </x:c>
      <x:c r="D70" s="13" t="str">
        <x:v>F78</x:v>
      </x:c>
      <x:c r="E70" s="13" t="str">
        <x:v>正确</x:v>
      </x:c>
      <x:c r="F70" s="19" t="str">
        <x:v>1</x:v>
      </x:c>
      <x:c r="G70" s="13" t="str">
        <x:v>有公开仓库与许可线索</x:v>
      </x:c>
    </x:row>
    <x:row r="71">
      <x:c r="A71" s="13" t="str">
        <x:v>DeepSeek V4 Flash</x:v>
      </x:c>
      <x:c r="B71" s="13" t="str">
        <x:v>8</x:v>
      </x:c>
      <x:c r="C71" s="13" t="str">
        <x:v>基准</x:v>
      </x:c>
      <x:c r="D71" s="13" t="str">
        <x:v>F43</x:v>
      </x:c>
      <x:c r="E71" s="13" t="str">
        <x:v>正确</x:v>
      </x:c>
      <x:c r="F71" s="19" t="str">
        <x:v>1</x:v>
      </x:c>
      <x:c r="G71" s="13" t="str">
        <x:v>GLM-4.5论文可支持相关指标</x:v>
      </x:c>
    </x:row>
    <x:row r="72">
      <x:c r="A72" s="13" t="str">
        <x:v>DeepSeek V4 Flash</x:v>
      </x:c>
      <x:c r="B72" s="13" t="str">
        <x:v>9</x:v>
      </x:c>
      <x:c r="C72" s="13" t="str">
        <x:v>基准</x:v>
      </x:c>
      <x:c r="D72" s="13" t="str">
        <x:v>F53</x:v>
      </x:c>
      <x:c r="E72" s="13" t="str">
        <x:v>部分支持</x:v>
      </x:c>
      <x:c r="F72" s="19" t="str">
        <x:v>0.5</x:v>
      </x:c>
      <x:c r="G72" s="13" t="str">
        <x:v>LMArena名次是时点数据且引用百科汇总</x:v>
      </x:c>
    </x:row>
    <x:row r="73">
      <x:c r="A73" s="13" t="str">
        <x:v>DeepSeek V4 Flash</x:v>
      </x:c>
      <x:c r="B73" s="13" t="str">
        <x:v>10</x:v>
      </x:c>
      <x:c r="C73" s="13" t="str">
        <x:v>生态</x:v>
      </x:c>
      <x:c r="D73" s="13" t="str">
        <x:v>F80</x:v>
      </x:c>
      <x:c r="E73" s="13" t="str">
        <x:v>部分支持</x:v>
      </x:c>
      <x:c r="F73" s="19" t="str">
        <x:v>0.5</x:v>
      </x:c>
      <x:c r="G73" s="13" t="str">
        <x:v>上市与财务描述未给出公司公告或年报的直接链接</x:v>
      </x:c>
    </x:row>
    <x:row r="74">
      <x:c r="A74" s="13" t="str">
        <x:v>DeepSeek V4 Flash</x:v>
      </x:c>
      <x:c r="B74" s="13" t="str">
        <x:v>11</x:v>
      </x:c>
      <x:c r="C74" s="13" t="str">
        <x:v>生态</x:v>
      </x:c>
      <x:c r="D74" s="13" t="str">
        <x:v>F81</x:v>
      </x:c>
      <x:c r="E74" s="13" t="str">
        <x:v>错误或无法支持</x:v>
      </x:c>
      <x:c r="F74" s="19" t="str">
        <x:v>0</x:v>
      </x:c>
      <x:c r="G74" s="13" t="str">
        <x:v>30万企业客户和日400亿token为强断言，未给出可复核一手证据</x:v>
      </x:c>
    </x:row>
    <x:row r="75">
      <x:c r="A75" s="13" t="str">
        <x:v>DeepSeek V4 Flash</x:v>
      </x:c>
      <x:c r="B75" s="13" t="str">
        <x:v>12</x:v>
      </x:c>
      <x:c r="C75" s="13" t="str">
        <x:v>能力升级</x:v>
      </x:c>
      <x:c r="D75" s="13" t="str">
        <x:v>F77</x:v>
      </x:c>
      <x:c r="E75" s="13" t="str">
        <x:v>正确</x:v>
      </x:c>
      <x:c r="F75" s="19" t="str">
        <x:v>1</x:v>
      </x:c>
      <x:c r="G75" s="13" t="str">
        <x:v>架构与长程任务表述可回溯官方研究文</x:v>
      </x:c>
    </x:row>
    <x:row r="76">
      <x:c r="A76" s="13" t="str">
        <x:v>DeepSeek V4 Flash</x:v>
      </x:c>
      <x:c r="B76" s="13" t="str">
        <x:v>13</x:v>
      </x:c>
      <x:c r="C76" s="13" t="str">
        <x:v>发布时间</x:v>
      </x:c>
      <x:c r="D76" s="13" t="str">
        <x:v>F58</x:v>
      </x:c>
      <x:c r="E76" s="13" t="str">
        <x:v>正确</x:v>
      </x:c>
      <x:c r="F76" s="19" t="str">
        <x:v>1</x:v>
      </x:c>
      <x:c r="G76" s="13" t="str">
        <x:v>GLM-4.7日期已列出冲突并解释</x:v>
      </x:c>
    </x:row>
    <x:row r="77">
      <x:c r="A77" s="13" t="str">
        <x:v>DeepSeek V4 Flash</x:v>
      </x:c>
      <x:c r="B77" s="13" t="str">
        <x:v>14</x:v>
      </x:c>
      <x:c r="C77" s="13" t="str">
        <x:v>参数</x:v>
      </x:c>
      <x:c r="D77" s="13" t="str">
        <x:v>F73</x:v>
      </x:c>
      <x:c r="E77" s="13" t="str">
        <x:v>部分支持</x:v>
      </x:c>
      <x:c r="F77" s="19" t="str">
        <x:v>0.5</x:v>
      </x:c>
      <x:c r="G77" s="13" t="str">
        <x:v>753B/40B为第三方估算，不应作为确定参数</x:v>
      </x:c>
    </x:row>
    <x:row r="78">
      <x:c r="A78" s="13" t="str">
        <x:v>DeepSeek V4 Flash</x:v>
      </x:c>
      <x:c r="B78" s="13" t="str">
        <x:v>15</x:v>
      </x:c>
      <x:c r="C78" s="13" t="str">
        <x:v>上下文</x:v>
      </x:c>
      <x:c r="D78" s="13" t="str">
        <x:v>F28</x:v>
      </x:c>
      <x:c r="E78" s="13" t="str">
        <x:v>正确</x:v>
      </x:c>
      <x:c r="F78" s="19" t="str">
        <x:v>1</x:v>
      </x:c>
      <x:c r="G78" s="13" t="str">
        <x:v>1M版本信息可复核</x:v>
      </x:c>
    </x:row>
    <x:row r="79">
      <x:c r="A79" s="13" t="str">
        <x:v>DeepSeek V4 Flash</x:v>
      </x:c>
      <x:c r="B79" s="13" t="str">
        <x:v>16</x:v>
      </x:c>
      <x:c r="C79" s="13" t="str">
        <x:v>开源</x:v>
      </x:c>
      <x:c r="D79" s="13" t="str">
        <x:v>F29</x:v>
      </x:c>
      <x:c r="E79" s="13" t="str">
        <x:v>正确</x:v>
      </x:c>
      <x:c r="F79" s="19" t="str">
        <x:v>1</x:v>
      </x:c>
      <x:c r="G79" s="13" t="str">
        <x:v>MIT结论与公开仓库相符</x:v>
      </x:c>
    </x:row>
    <x:row r="80">
      <x:c r="A80" s="13" t="str">
        <x:v>DeepSeek V4 Flash</x:v>
      </x:c>
      <x:c r="B80" s="13" t="str">
        <x:v>17</x:v>
      </x:c>
      <x:c r="C80" s="13" t="str">
        <x:v>基准</x:v>
      </x:c>
      <x:c r="D80" s="13" t="str">
        <x:v>F61</x:v>
      </x:c>
      <x:c r="E80" s="13" t="str">
        <x:v>正确</x:v>
      </x:c>
      <x:c r="F80" s="19" t="str">
        <x:v>1</x:v>
      </x:c>
      <x:c r="G80" s="13" t="str">
        <x:v>基准表述有官方文档线索</x:v>
      </x:c>
    </x:row>
    <x:row r="81">
      <x:c r="A81" s="13" t="str">
        <x:v>DeepSeek V4 Flash</x:v>
      </x:c>
      <x:c r="B81" s="13" t="str">
        <x:v>18</x:v>
      </x:c>
      <x:c r="C81" s="13" t="str">
        <x:v>产品</x:v>
      </x:c>
      <x:c r="D81" s="13" t="str">
        <x:v>F46</x:v>
      </x:c>
      <x:c r="E81" s="13" t="str">
        <x:v>正确</x:v>
      </x:c>
      <x:c r="F81" s="19" t="str">
        <x:v>1</x:v>
      </x:c>
      <x:c r="G81" s="13" t="str">
        <x:v>定价有发布稿支持</x:v>
      </x:c>
    </x:row>
    <x:row r="82">
      <x:c r="A82" s="13" t="str">
        <x:v>DeepSeek V4 Flash</x:v>
      </x:c>
      <x:c r="B82" s="13" t="str">
        <x:v>19</x:v>
      </x:c>
      <x:c r="C82" s="13" t="str">
        <x:v>价格</x:v>
      </x:c>
      <x:c r="D82" s="13" t="str">
        <x:v>F57</x:v>
      </x:c>
      <x:c r="E82" s="13" t="str">
        <x:v>正确</x:v>
      </x:c>
      <x:c r="F82" s="19" t="str">
        <x:v>1</x:v>
      </x:c>
      <x:c r="G82" s="13" t="str">
        <x:v>价格信息有明确报道来源且在风险清单中提示时效性</x:v>
      </x:c>
    </x:row>
    <x:row r="83">
      <x:c r="A83" s="13" t="str">
        <x:v>DeepSeek V4 Flash</x:v>
      </x:c>
      <x:c r="B83" s="13" t="str">
        <x:v>20</x:v>
      </x:c>
      <x:c r="C83" s="13" t="str">
        <x:v>能力升级</x:v>
      </x:c>
      <x:c r="D83" s="13" t="str">
        <x:v>F62</x:v>
      </x:c>
      <x:c r="E83" s="13" t="str">
        <x:v>正确</x:v>
      </x:c>
      <x:c r="F83" s="19" t="str">
        <x:v>1</x:v>
      </x:c>
      <x:c r="G83" s="13" t="str">
        <x:v>思考模式可在官方文档复核</x:v>
      </x:c>
    </x:row>
    <x:row r="84">
      <x:c r="A84" s="13" t="str">
        <x:v>DeepSeek V4 Flash</x:v>
      </x:c>
      <x:c r="B84" s="13" t="str">
        <x:v>21</x:v>
      </x:c>
      <x:c r="C84" s="13" t="str">
        <x:v>发布时间</x:v>
      </x:c>
      <x:c r="D84" s="13" t="str">
        <x:v>F09</x:v>
      </x:c>
      <x:c r="E84" s="13" t="str">
        <x:v>正确</x:v>
      </x:c>
      <x:c r="F84" s="19" t="str">
        <x:v>1</x:v>
      </x:c>
      <x:c r="G84" s="13" t="str">
        <x:v>发布时间有多处公开报道支持</x:v>
      </x:c>
    </x:row>
    <x:row r="85">
      <x:c r="A85" s="13" t="str">
        <x:v>DeepSeek V4 Flash</x:v>
      </x:c>
      <x:c r="B85" s="13" t="str">
        <x:v>22</x:v>
      </x:c>
      <x:c r="C85" s="13" t="str">
        <x:v>参数</x:v>
      </x:c>
      <x:c r="D85" s="13" t="str">
        <x:v>F68</x:v>
      </x:c>
      <x:c r="E85" s="13" t="str">
        <x:v>部分支持</x:v>
      </x:c>
      <x:c r="F85" s="19" t="str">
        <x:v>0.5</x:v>
      </x:c>
      <x:c r="G85" s="13" t="str">
        <x:v>激活参数存在40B与44B冲突</x:v>
      </x:c>
    </x:row>
    <x:row r="86">
      <x:c r="A86" s="13" t="str">
        <x:v>DeepSeek V4 Flash</x:v>
      </x:c>
      <x:c r="B86" s="13" t="str">
        <x:v>23</x:v>
      </x:c>
      <x:c r="C86" s="13" t="str">
        <x:v>基准</x:v>
      </x:c>
      <x:c r="D86" s="13" t="str">
        <x:v>F74</x:v>
      </x:c>
      <x:c r="E86" s="13" t="str">
        <x:v>正确</x:v>
      </x:c>
      <x:c r="F86" s="19" t="str">
        <x:v>1</x:v>
      </x:c>
      <x:c r="G86" s="13" t="str">
        <x:v>标明官方自报与时点属性</x:v>
      </x:c>
    </x:row>
    <x:row r="87">
      <x:c r="A87" s="13" t="str">
        <x:v>DeepSeek V4 Flash</x:v>
      </x:c>
      <x:c r="B87" s="13" t="str">
        <x:v>24</x:v>
      </x:c>
      <x:c r="C87" s="13" t="str">
        <x:v>生态</x:v>
      </x:c>
      <x:c r="D87" s="13" t="str">
        <x:v>F70</x:v>
      </x:c>
      <x:c r="E87" s="13" t="str">
        <x:v>部分支持</x:v>
      </x:c>
      <x:c r="F87" s="19" t="str">
        <x:v>0.5</x:v>
      </x:c>
      <x:c r="G87" s="13" t="str">
        <x:v>全程昇腾且无NVIDIA属于第三方叙述，需官方证明</x:v>
      </x:c>
    </x:row>
    <x:row r="88">
      <x:c r="A88" s="13" t="str">
        <x:v>DeepSeek V4 Flash</x:v>
      </x:c>
      <x:c r="B88" s="13" t="str">
        <x:v>25</x:v>
      </x:c>
      <x:c r="C88" s="13" t="str">
        <x:v>模态</x:v>
      </x:c>
      <x:c r="D88" s="13" t="str">
        <x:v>F56</x:v>
      </x:c>
      <x:c r="E88" s="13" t="str">
        <x:v>正确</x:v>
      </x:c>
      <x:c r="F88" s="19" t="str">
        <x:v>1</x:v>
      </x:c>
      <x:c r="G88" s="13" t="str">
        <x:v>官方页面可支持原生工具调用</x:v>
      </x:c>
    </x:row>
    <x:row r="89">
      <x:c r="A89" s="13" t="str">
        <x:v>DeepSeek V4 Flash</x:v>
      </x:c>
      <x:c r="B89" s="13" t="str">
        <x:v>26</x:v>
      </x:c>
      <x:c r="C89" s="13" t="str">
        <x:v>发布时间</x:v>
      </x:c>
      <x:c r="D89" s="13" t="str">
        <x:v>F71</x:v>
      </x:c>
      <x:c r="E89" s="13" t="str">
        <x:v>正确</x:v>
      </x:c>
      <x:c r="F89" s="19" t="str">
        <x:v>1</x:v>
      </x:c>
      <x:c r="G89" s="13" t="str">
        <x:v>两个时间点均被说明，正式公告日可追溯</x:v>
      </x:c>
    </x:row>
    <x:row r="90">
      <x:c r="A90" s="13" t="str">
        <x:v>DeepSeek V4 Flash</x:v>
      </x:c>
      <x:c r="B90" s="13" t="str">
        <x:v>27</x:v>
      </x:c>
      <x:c r="C90" s="13" t="str">
        <x:v>开源</x:v>
      </x:c>
      <x:c r="D90" s="13" t="str">
        <x:v>F63</x:v>
      </x:c>
      <x:c r="E90" s="13" t="str">
        <x:v>正确</x:v>
      </x:c>
      <x:c r="F90" s="19" t="str">
        <x:v>1</x:v>
      </x:c>
      <x:c r="G90" s="13" t="str">
        <x:v>开源状态与公开发布信息相符</x:v>
      </x:c>
    </x:row>
    <x:row r="91">
      <x:c r="A91" s="13" t="str">
        <x:v>DeepSeek V4 Flash</x:v>
      </x:c>
      <x:c r="B91" s="13" t="str">
        <x:v>28</x:v>
      </x:c>
      <x:c r="C91" s="13" t="str">
        <x:v>基准</x:v>
      </x:c>
      <x:c r="D91" s="13" t="str">
        <x:v>F66</x:v>
      </x:c>
      <x:c r="E91" s="13" t="str">
        <x:v>正确</x:v>
      </x:c>
      <x:c r="F91" s="19" t="str">
        <x:v>1</x:v>
      </x:c>
      <x:c r="G91" s="13" t="str">
        <x:v>数值按第三方口径陈述且未拔高为独立结论</x:v>
      </x:c>
    </x:row>
    <x:row r="92">
      <x:c r="A92" s="13" t="str">
        <x:v>DeepSeek V4 Flash</x:v>
      </x:c>
      <x:c r="B92" s="13" t="str">
        <x:v>29</x:v>
      </x:c>
      <x:c r="C92" s="13" t="str">
        <x:v>价格</x:v>
      </x:c>
      <x:c r="D92" s="13" t="str">
        <x:v>F50</x:v>
      </x:c>
      <x:c r="E92" s="13" t="str">
        <x:v>正确</x:v>
      </x:c>
      <x:c r="F92" s="19" t="str">
        <x:v>1</x:v>
      </x:c>
      <x:c r="G92" s="13" t="str">
        <x:v>价格口径有媒体来源并在风险清单中标注</x:v>
      </x:c>
    </x:row>
    <x:row r="93">
      <x:c r="A93" s="13" t="str">
        <x:v>DeepSeek V4 Flash</x:v>
      </x:c>
      <x:c r="B93" s="13" t="str">
        <x:v>30</x:v>
      </x:c>
      <x:c r="C93" s="13" t="str">
        <x:v>能力升级</x:v>
      </x:c>
      <x:c r="D93" s="13" t="str">
        <x:v>F43</x:v>
      </x:c>
      <x:c r="E93" s="13" t="str">
        <x:v>正确</x:v>
      </x:c>
      <x:c r="F93" s="19" t="str">
        <x:v>1</x:v>
      </x:c>
      <x:c r="G93" s="13" t="str">
        <x:v>ARC统一能力有官方发布支持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15" hidden="0" customWidth="1"/>
    <x:col min="4" max="4" width="13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54" hidden="0" customWidth="1"/>
    <x:col min="10" max="10" width="24" hidden="0" customWidth="1"/>
  </x:cols>
  <x:sheetData>
    <x:row r="1" ht="28" customHeight="1">
      <x:c r="A1" s="4" t="str">
        <x:v>运行信息（用户记录）</x:v>
      </x:c>
      <x:c r="B1" s="4" t="str">
        <x:v>运行信息（用户记录）</x:v>
      </x:c>
      <x:c r="C1" s="4" t="str">
        <x:v>运行信息（用户记录）</x:v>
      </x:c>
      <x:c r="D1" s="4" t="str">
        <x:v>运行信息（用户记录）</x:v>
      </x:c>
      <x:c r="E1" s="4" t="str">
        <x:v>运行信息（用户记录）</x:v>
      </x:c>
      <x:c r="F1" s="4" t="str">
        <x:v>运行信息（用户记录）</x:v>
      </x:c>
      <x:c r="G1" s="4" t="str">
        <x:v>运行信息（用户记录）</x:v>
      </x:c>
      <x:c r="H1" s="4" t="str">
        <x:v>运行信息（用户记录）</x:v>
      </x:c>
      <x:c r="I1" s="4" t="str">
        <x:v>运行信息（用户记录）</x:v>
      </x:c>
      <x:c r="J1" s="4" t="str">
        <x:v>运行信息（用户记录）</x:v>
      </x:c>
    </x:row>
    <x:row r="3">
      <x:c r="A3" s="10" t="str">
        <x:v>配置</x:v>
      </x:c>
      <x:c r="B3" s="10" t="str">
        <x:v>模型或模式</x:v>
      </x:c>
      <x:c r="C3" s="10" t="str">
        <x:v>总耗时</x:v>
      </x:c>
      <x:c r="D3" s="10" t="str">
        <x:v>总耗时秒</x:v>
      </x:c>
      <x:c r="E3" s="10" t="str">
        <x:v>额度消耗</x:v>
      </x:c>
      <x:c r="F3" s="10" t="str">
        <x:v>上下文使用</x:v>
      </x:c>
      <x:c r="G3" s="10" t="str">
        <x:v>上下文上限</x:v>
      </x:c>
      <x:c r="H3" s="10" t="str">
        <x:v>使用比例</x:v>
      </x:c>
      <x:c r="I3" s="10" t="str">
        <x:v>输出目录</x:v>
      </x:c>
      <x:c r="J3" s="10" t="str">
        <x:v>备注</x:v>
      </x:c>
    </x:row>
    <x:row r="4">
      <x:c r="A4" s="13" t="str">
        <x:v>HY3基线</x:v>
      </x:c>
      <x:c r="B4" s="13" t="str">
        <x:v>HY3</x:v>
      </x:c>
      <x:c r="C4" s="13" t="str">
        <x:v>14分53秒74</x:v>
      </x:c>
      <x:c r="D4" s="14" t="str">
        <x:v>893.74</x:v>
      </x:c>
      <x:c r="E4" s="13" t="str">
        <x:v>未记录</x:v>
      </x:c>
      <x:c r="F4" s="13" t="str">
        <x:v>未记录</x:v>
      </x:c>
      <x:c r="G4" s="13" t="str">
        <x:v>未记录</x:v>
      </x:c>
      <x:c r="H4" s="20" t="str">
        <x:v>未记录</x:v>
      </x:c>
      <x:c r="I4" s="13" t="str">
        <x:v>原始输出/WorkBuddy输出</x:v>
      </x:c>
      <x:c r="J4" s="13" t="str">
        <x:v>主测试基线</x:v>
      </x:c>
    </x:row>
    <x:row r="5">
      <x:c r="A5" s="13" t="str">
        <x:v>Auto模型</x:v>
      </x:c>
      <x:c r="B5" s="13" t="str">
        <x:v>Auto + MAX</x:v>
      </x:c>
      <x:c r="C5" s="13" t="str">
        <x:v>7分39秒48</x:v>
      </x:c>
      <x:c r="D5" s="14" t="str">
        <x:v>459.48</x:v>
      </x:c>
      <x:c r="E5" s="13" t="str">
        <x:v>170.98积分</x:v>
      </x:c>
      <x:c r="F5" s="13" t="str">
        <x:v>150.5k</x:v>
      </x:c>
      <x:c r="G5" s="13" t="str">
        <x:v>168.0k</x:v>
      </x:c>
      <x:c r="H5" s="20" t="str">
        <x:v>89.58%</x:v>
      </x:c>
      <x:c r="I5" s="13" t="str">
        <x:v>原始输出/workbuddy换模型测试/auto模型</x:v>
      </x:c>
      <x:c r="J5" s="13" t="str">
        <x:v>Auto 模型且启用 MAX 模式</x:v>
      </x:c>
    </x:row>
    <x:row r="6">
      <x:c r="A6" s="13" t="str">
        <x:v>DeepSeek V4 Flash</x:v>
      </x:c>
      <x:c r="B6" s="13" t="str">
        <x:v>DeepSeek V4 Flash API + MAX</x:v>
      </x:c>
      <x:c r="C6" s="13" t="str">
        <x:v>4分50秒40</x:v>
      </x:c>
      <x:c r="D6" s="14" t="str">
        <x:v>290.40</x:v>
      </x:c>
      <x:c r="E6" s="13" t="str">
        <x:v>未记录</x:v>
      </x:c>
      <x:c r="F6" s="13" t="str">
        <x:v>142.2k</x:v>
      </x:c>
      <x:c r="G6" s="13" t="str">
        <x:v>1000k</x:v>
      </x:c>
      <x:c r="H6" s="20" t="str">
        <x:v>14.22%</x:v>
      </x:c>
      <x:c r="I6" s="13" t="str">
        <x:v>原始输出/workbuddy换模型测试/DeepSeek_V4_Flash</x:v>
      </x:c>
      <x:c r="J6" s="13" t="str">
        <x:v>API 模型且启用 MAX 模式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5" hidden="0" customWidth="1"/>
    <x:col min="3" max="3" width="38" hidden="0" customWidth="1"/>
  </x:cols>
  <x:sheetData>
    <x:row r="1" ht="28" customHeight="1">
      <x:c r="A1" s="4" t="str">
        <x:v>审计说明与关键结论</x:v>
      </x:c>
      <x:c r="B1" s="4" t="str">
        <x:v>审计说明与关键结论</x:v>
      </x:c>
      <x:c r="C1" s="4" t="str">
        <x:v>审计说明与关键结论</x:v>
      </x:c>
      <x:c r="D1" s="4" t="str">
        <x:v>审计说明与关键结论</x:v>
      </x:c>
      <x:c r="E1" s="4" t="str">
        <x:v>审计说明与关键结论</x:v>
      </x:c>
      <x:c r="F1" s="4" t="str">
        <x:v>审计说明与关键结论</x:v>
      </x:c>
      <x:c r="G1" s="4" t="str">
        <x:v>审计说明与关键结论</x:v>
      </x:c>
      <x:c r="H1" s="4" t="str">
        <x:v>审计说明与关键结论</x:v>
      </x:c>
    </x:row>
    <x:row r="3">
      <x:c r="A3" s="10" t="str">
        <x:v>项目</x:v>
      </x:c>
      <x:c r="B3" s="10" t="str">
        <x:v>结论</x:v>
      </x:c>
      <x:c r="C3" s="10" t="str">
        <x:v>证据位置</x:v>
      </x:c>
      <x:c r="D3" s="10" t="str"/>
      <x:c r="E3" s="10"/>
      <x:c r="F3" s="10"/>
      <x:c r="G3" s="10"/>
      <x:c r="H3" s="10"/>
    </x:row>
    <x:row r="4">
      <x:c r="A4" s="13" t="str">
        <x:v>评估定位</x:v>
      </x:c>
      <x:c r="B4" s="13" t="str">
        <x:v>仅用于 WorkBuddy 平台内部的配置复测，不修改测试一三平台排名；结果显示其对底层模型配置依赖较强。</x:v>
      </x:c>
      <x:c r="C4" s="13" t="str">
        <x:v>评分规则与综合结果</x:v>
      </x:c>
    </x:row>
    <x:row r="5">
      <x:c r="A5" s="13" t="str">
        <x:v>交付门槛</x:v>
      </x:c>
      <x:c r="B5" s="13" t="str">
        <x:v>HY3、Auto、DeepSeek V4 Flash 均完整提供五份规定文件。</x:v>
      </x:c>
      <x:c r="C5" s="13" t="str">
        <x:v>原始输出目录</x:v>
      </x:c>
    </x:row>
    <x:row r="6">
      <x:c r="A6" s="13" t="str">
        <x:v>Auto + MAX</x:v>
      </x:c>
      <x:c r="B6" s="13" t="str">
        <x:v>质量最均衡；事实、观点、来源均高于HY3，耗时减少48.6%。</x:v>
      </x:c>
      <x:c r="C6" s="13" t="str">
        <x:v>事实抽检、研究备忘录、运行信息</x:v>
      </x:c>
    </x:row>
    <x:row r="7">
      <x:c r="A7" s="13" t="str">
        <x:v>DeepSeek V4 Flash</x:v>
      </x:c>
      <x:c r="B7" s="13" t="str">
        <x:v>速度最快、覆盖最高、上下文余量最大；需重点复核商业化数字、榜单、参数与国产算力叙述。</x:v>
      </x:c>
      <x:c r="C7" s="13" t="str">
        <x:v>事实抽检、未确认信息和风险提示</x:v>
      </x:c>
    </x:row>
    <x:row r="8">
      <x:c r="A8" s="13" t="str">
        <x:v>HY3基线</x:v>
      </x:c>
      <x:c r="B8" s="13" t="str">
        <x:v>覆盖完整，但来源与引用分最低，且运行时间最长。</x:v>
      </x:c>
      <x:c r="C8" s="13" t="str">
        <x:v>主测试评分结果</x:v>
      </x:c>
    </x:row>
    <x:row r="9">
      <x:c r="A9" s="13" t="str">
        <x:v>计分边界</x:v>
      </x:c>
      <x:c r="B9" s="13" t="str">
        <x:v>额度和上下文占用不纳入综合分：计价单位不统一且部分成本缺失。</x:v>
      </x:c>
      <x:c r="C9" s="13" t="str">
        <x:v>运行信息</x:v>
      </x:c>
    </x:row>
    <x:row r="10">
      <x:c r="A10" s="13" t="str">
        <x:v>最终建议</x:v>
      </x:c>
      <x:c r="B10" s="13" t="str">
        <x:v>当前研究初稿偏向Auto；长材料、多轮任务或速度优先时偏向DeepSeek，再做一手来源复核。</x:v>
      </x:c>
      <x:c r="C10" s="13" t="str">
        <x:v>评估报告</x:v>
      </x:c>
    </x:row>
  </x:sheetData>
  <x:mergeCells>
    <x:mergeCell ref="A1:H1"/>
  </x:mergeCells>
  <x:pageMargins left="0.7" right="0.7" top="0.75" bottom="0.75" header="0.3" footer="0.3"/>
</x:worksheet>
</file>