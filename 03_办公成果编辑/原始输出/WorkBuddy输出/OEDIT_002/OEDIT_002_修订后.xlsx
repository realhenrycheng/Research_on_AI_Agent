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80" yWindow="2080" windowWidth="49120" windowHeight="22920" tabRatio="600" firstSheet="0" activeTab="2" autoFilterDateGrouping="1"/>
  </bookViews>
  <sheets>
    <sheet name="Feb24" sheetId="1" state="visible" r:id="rId1"/>
    <sheet name="Mar24" sheetId="2" state="visible" r:id="rId2"/>
    <sheet name="Sheet3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"01/22/2026 12:39:57"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d\-mmm\-yy;@"/>
    <numFmt numFmtId="165" formatCode="h:mm;@"/>
    <numFmt numFmtId="166" formatCode="[$-409]h:mm\ AM/PM;@"/>
    <numFmt numFmtId="167" formatCode="[$-409]mmm\-yy;@"/>
  </numFmts>
  <fonts count="3">
    <font>
      <name val="Garamond"/>
      <family val="2"/>
      <color theme="1"/>
      <sz val="12"/>
    </font>
    <font>
      <name val="Garamond"/>
      <family val="1"/>
      <b val="1"/>
      <color theme="1"/>
      <sz val="12"/>
    </font>
    <font>
      <name val="Garamond"/>
      <family val="1"/>
      <color theme="1"/>
      <sz val="12"/>
    </font>
  </fonts>
  <fills count="5">
    <fill>
      <patternFill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1" fillId="2" borderId="0" pivotButton="0" quotePrefix="0" xfId="0"/>
    <xf numFmtId="164" fontId="1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164" fontId="1" fillId="3" borderId="0" pivotButton="0" quotePrefix="0" xfId="0"/>
    <xf numFmtId="164" fontId="1" fillId="3" borderId="0" applyAlignment="1" pivotButton="0" quotePrefix="0" xfId="0">
      <alignment horizontal="center" vertical="center"/>
    </xf>
    <xf numFmtId="165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pivotButton="0" quotePrefix="0" xfId="0"/>
    <xf numFmtId="167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0" pivotButton="0" quotePrefix="0" xfId="0"/>
    <xf numFmtId="164" fontId="1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164" fontId="1" fillId="3" borderId="0" pivotButton="0" quotePrefix="0" xfId="0"/>
    <xf numFmtId="164" fontId="1" fillId="3" borderId="0" applyAlignment="1" pivotButton="0" quotePrefix="0" xfId="0">
      <alignment horizontal="center" vertical="center"/>
    </xf>
    <xf numFmtId="165" fontId="1" fillId="3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19">
    <dxf>
      <font>
        <color theme="0"/>
      </font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Measurements Trend (2024-02-08 to 2024-03-08)</a:t>
            </a:r>
          </a:p>
        </rich>
      </tx>
    </title>
    <plotArea>
      <lineChart>
        <grouping val="standard"/>
        <ser>
          <idx val="0"/>
          <order val="0"/>
          <tx>
            <strRef>
              <f>'Sheet3'!D1</f>
            </strRef>
          </tx>
          <spPr>
            <a:ln w="20000">
              <a:solidFill>
                <a:srgbClr val="E74C3C"/>
              </a:solidFill>
              <a:prstDash val="solid"/>
            </a:ln>
          </spPr>
          <marker>
            <symbol val="circle"/>
            <size val="6"/>
            <spPr>
              <a:solidFill>
                <a:srgbClr val="E74C3C"/>
              </a:solidFill>
              <a:ln>
                <a:solidFill>
                  <a:srgbClr val="E74C3C"/>
                </a:solidFill>
                <a:prstDash val="solid"/>
              </a:ln>
            </spPr>
          </marker>
          <cat>
            <multiLvlStrRef>
              <f>'Sheet3'!$A$2:$C$31</f>
              <multiLvlStrCache>
                <ptCount val="30"/>
                <lvl>
                  <pt idx="0">
                    <v>10:50 AM</v>
                  </pt>
                  <pt idx="1">
                    <v>10:03 AM</v>
                  </pt>
                  <pt idx="2">
                    <v>10:19 AM</v>
                  </pt>
                  <pt idx="3">
                    <v>10:11 AM</v>
                  </pt>
                  <pt idx="4">
                    <v>10:18 AM</v>
                  </pt>
                  <pt idx="5">
                    <v>10:33 AM</v>
                  </pt>
                  <pt idx="6">
                    <v>10:20 AM</v>
                  </pt>
                  <pt idx="7">
                    <v>11:22 AM</v>
                  </pt>
                  <pt idx="8">
                    <v>10:29 AM</v>
                  </pt>
                  <pt idx="9">
                    <v>10:09 AM</v>
                  </pt>
                  <pt idx="10">
                    <v>--</v>
                  </pt>
                  <pt idx="11">
                    <v>10:12 AM</v>
                  </pt>
                  <pt idx="12">
                    <v>10:12 AM</v>
                  </pt>
                  <pt idx="13">
                    <v>11:32 AM</v>
                  </pt>
                  <pt idx="14">
                    <v>12:00 PM</v>
                  </pt>
                  <pt idx="15">
                    <v>10:32 AM</v>
                  </pt>
                  <pt idx="16">
                    <v>10:10 AM</v>
                  </pt>
                  <pt idx="17">
                    <v>10:38 AM</v>
                  </pt>
                  <pt idx="18">
                    <v>10:57 AM</v>
                  </pt>
                  <pt idx="19">
                    <v>10:35 AM</v>
                  </pt>
                  <pt idx="20">
                    <v>11:31 AM</v>
                  </pt>
                  <pt idx="21">
                    <v>10:57 AM</v>
                  </pt>
                  <pt idx="22">
                    <v>11:30 AM</v>
                  </pt>
                  <pt idx="23">
                    <v>10:32 AM</v>
                  </pt>
                  <pt idx="24">
                    <v>11:29 AM</v>
                  </pt>
                  <pt idx="25">
                    <v>10:14 AM</v>
                  </pt>
                  <pt idx="26">
                    <v>10:57 AM</v>
                  </pt>
                  <pt idx="27">
                    <v>10:30 AM</v>
                  </pt>
                  <pt idx="28">
                    <v>8:55 AM</v>
                  </pt>
                  <pt idx="29">
                    <v>10:57 AM</v>
                  </pt>
                </lvl>
                <lvl>
                  <pt idx="0">
                    <v>Thu</v>
                  </pt>
                  <pt idx="1">
                    <v>Fri</v>
                  </pt>
                  <pt idx="2">
                    <v>Sat</v>
                  </pt>
                  <pt idx="3">
                    <v>Sun</v>
                  </pt>
                  <pt idx="4">
                    <v>Mon</v>
                  </pt>
                  <pt idx="5">
                    <v>Tue</v>
                  </pt>
                  <pt idx="6">
                    <v>Wed</v>
                  </pt>
                  <pt idx="7">
                    <v>Thu</v>
                  </pt>
                  <pt idx="8">
                    <v>Fri</v>
                  </pt>
                  <pt idx="9">
                    <v>Sat</v>
                  </pt>
                  <pt idx="10">
                    <v>Sun</v>
                  </pt>
                  <pt idx="11">
                    <v>Mon</v>
                  </pt>
                  <pt idx="12">
                    <v>Tue</v>
                  </pt>
                  <pt idx="13">
                    <v>Wed</v>
                  </pt>
                  <pt idx="14">
                    <v>Thu</v>
                  </pt>
                  <pt idx="15">
                    <v>Fri</v>
                  </pt>
                  <pt idx="16">
                    <v>Sat</v>
                  </pt>
                  <pt idx="17">
                    <v>Sun</v>
                  </pt>
                  <pt idx="18">
                    <v>Mon</v>
                  </pt>
                  <pt idx="19">
                    <v>Tue</v>
                  </pt>
                  <pt idx="20">
                    <v>Wed</v>
                  </pt>
                  <pt idx="21">
                    <v>Thu</v>
                  </pt>
                  <pt idx="22">
                    <v>Fri</v>
                  </pt>
                  <pt idx="23">
                    <v>Sat</v>
                  </pt>
                  <pt idx="24">
                    <v>Sun</v>
                  </pt>
                  <pt idx="25">
                    <v>Mon</v>
                  </pt>
                  <pt idx="26">
                    <v>Tue</v>
                  </pt>
                  <pt idx="27">
                    <v>Wed</v>
                  </pt>
                  <pt idx="28">
                    <v>Thu</v>
                  </pt>
                  <pt idx="29">
                    <v>Fri</v>
                  </pt>
                </lvl>
                <lvl>
                  <pt idx="0">
                    <v>2/8</v>
                  </pt>
                  <pt idx="1">
                    <v>2/9</v>
                  </pt>
                  <pt idx="2">
                    <v>2/10</v>
                  </pt>
                  <pt idx="3">
                    <v>2/11</v>
                  </pt>
                  <pt idx="4">
                    <v>2/12</v>
                  </pt>
                  <pt idx="5">
                    <v>2/13</v>
                  </pt>
                  <pt idx="6">
                    <v>2/14</v>
                  </pt>
                  <pt idx="7">
                    <v>2/15</v>
                  </pt>
                  <pt idx="8">
                    <v>2/16</v>
                  </pt>
                  <pt idx="9">
                    <v>2/17</v>
                  </pt>
                  <pt idx="10">
                    <v>2/18</v>
                  </pt>
                  <pt idx="11">
                    <v>2/19</v>
                  </pt>
                  <pt idx="12">
                    <v>2/20</v>
                  </pt>
                  <pt idx="13">
                    <v>2/21</v>
                  </pt>
                  <pt idx="14">
                    <v>2/22</v>
                  </pt>
                  <pt idx="15">
                    <v>2/23</v>
                  </pt>
                  <pt idx="16">
                    <v>2/24</v>
                  </pt>
                  <pt idx="17">
                    <v>2/25</v>
                  </pt>
                  <pt idx="18">
                    <v>2/26</v>
                  </pt>
                  <pt idx="19">
                    <v>2/27</v>
                  </pt>
                  <pt idx="20">
                    <v>2/28</v>
                  </pt>
                  <pt idx="21">
                    <v>2/29</v>
                  </pt>
                  <pt idx="22">
                    <v>3/1</v>
                  </pt>
                  <pt idx="23">
                    <v>3/2</v>
                  </pt>
                  <pt idx="24">
                    <v>3/3</v>
                  </pt>
                  <pt idx="25">
                    <v>3/4</v>
                  </pt>
                  <pt idx="26">
                    <v>3/5</v>
                  </pt>
                  <pt idx="27">
                    <v>3/6</v>
                  </pt>
                  <pt idx="28">
                    <v>3/7</v>
                  </pt>
                  <pt idx="29">
                    <v>3/8</v>
                  </pt>
                </lvl>
              </multiLvlStrCache>
            </multiLvlStrRef>
          </cat>
          <val>
            <numRef>
              <f>'Sheet3'!$D$2:$D$31</f>
              <numCache>
                <ptCount val="30"/>
                <formatCode>General</formatCode>
                <pt idx="0">
                  <v>143</v>
                </pt>
                <pt idx="1">
                  <v>128</v>
                </pt>
                <pt idx="2">
                  <v>122</v>
                </pt>
                <pt idx="3">
                  <v>128</v>
                </pt>
                <pt idx="4">
                  <v>135</v>
                </pt>
                <pt idx="5">
                  <v>135</v>
                </pt>
                <pt idx="6">
                  <v>147</v>
                </pt>
                <pt idx="7">
                  <v>129</v>
                </pt>
                <pt idx="8">
                  <v>131</v>
                </pt>
                <pt idx="9">
                  <v>129</v>
                </pt>
                <pt idx="10"/>
                <pt idx="11">
                  <v>140</v>
                </pt>
                <pt idx="12">
                  <v>125</v>
                </pt>
                <pt idx="13">
                  <v>120</v>
                </pt>
                <pt idx="14">
                  <v>101</v>
                </pt>
                <pt idx="15">
                  <v>115</v>
                </pt>
                <pt idx="16">
                  <v>126</v>
                </pt>
                <pt idx="17">
                  <v>118</v>
                </pt>
                <pt idx="18">
                  <v>128</v>
                </pt>
                <pt idx="19">
                  <v>132</v>
                </pt>
                <pt idx="20">
                  <v>136</v>
                </pt>
                <pt idx="21">
                  <v>116</v>
                </pt>
                <pt idx="22">
                  <v>124</v>
                </pt>
                <pt idx="23">
                  <v>126</v>
                </pt>
                <pt idx="24">
                  <v>145</v>
                </pt>
                <pt idx="25">
                  <v>148</v>
                </pt>
                <pt idx="26">
                  <v>148</v>
                </pt>
                <pt idx="27">
                  <v>125</v>
                </pt>
                <pt idx="28">
                  <v>117</v>
                </pt>
                <pt idx="29">
                  <v>128</v>
                </pt>
              </numCache>
            </numRef>
          </val>
          <smooth val="0"/>
        </ser>
        <ser>
          <idx val="1"/>
          <order val="1"/>
          <tx>
            <strRef>
              <f>'Sheet3'!E1</f>
            </strRef>
          </tx>
          <spPr>
            <a:ln w="20000">
              <a:solidFill>
                <a:srgbClr val="3498DB"/>
              </a:solidFill>
              <a:prstDash val="solid"/>
            </a:ln>
          </spPr>
          <marker>
            <symbol val="circle"/>
            <size val="6"/>
            <spPr>
              <a:solidFill>
                <a:srgbClr val="3498DB"/>
              </a:solidFill>
              <a:ln>
                <a:solidFill>
                  <a:srgbClr val="3498DB"/>
                </a:solidFill>
                <a:prstDash val="solid"/>
              </a:ln>
            </spPr>
          </marker>
          <cat>
            <multiLvlStrRef>
              <f>'Sheet3'!$A$2:$C$31</f>
              <multiLvlStrCache>
                <ptCount val="30"/>
                <lvl>
                  <pt idx="0">
                    <v>10:50 AM</v>
                  </pt>
                  <pt idx="1">
                    <v>10:03 AM</v>
                  </pt>
                  <pt idx="2">
                    <v>10:19 AM</v>
                  </pt>
                  <pt idx="3">
                    <v>10:11 AM</v>
                  </pt>
                  <pt idx="4">
                    <v>10:18 AM</v>
                  </pt>
                  <pt idx="5">
                    <v>10:33 AM</v>
                  </pt>
                  <pt idx="6">
                    <v>10:20 AM</v>
                  </pt>
                  <pt idx="7">
                    <v>11:22 AM</v>
                  </pt>
                  <pt idx="8">
                    <v>10:29 AM</v>
                  </pt>
                  <pt idx="9">
                    <v>10:09 AM</v>
                  </pt>
                  <pt idx="10">
                    <v>--</v>
                  </pt>
                  <pt idx="11">
                    <v>10:12 AM</v>
                  </pt>
                  <pt idx="12">
                    <v>10:12 AM</v>
                  </pt>
                  <pt idx="13">
                    <v>11:32 AM</v>
                  </pt>
                  <pt idx="14">
                    <v>12:00 PM</v>
                  </pt>
                  <pt idx="15">
                    <v>10:32 AM</v>
                  </pt>
                  <pt idx="16">
                    <v>10:10 AM</v>
                  </pt>
                  <pt idx="17">
                    <v>10:38 AM</v>
                  </pt>
                  <pt idx="18">
                    <v>10:57 AM</v>
                  </pt>
                  <pt idx="19">
                    <v>10:35 AM</v>
                  </pt>
                  <pt idx="20">
                    <v>11:31 AM</v>
                  </pt>
                  <pt idx="21">
                    <v>10:57 AM</v>
                  </pt>
                  <pt idx="22">
                    <v>11:30 AM</v>
                  </pt>
                  <pt idx="23">
                    <v>10:32 AM</v>
                  </pt>
                  <pt idx="24">
                    <v>11:29 AM</v>
                  </pt>
                  <pt idx="25">
                    <v>10:14 AM</v>
                  </pt>
                  <pt idx="26">
                    <v>10:57 AM</v>
                  </pt>
                  <pt idx="27">
                    <v>10:30 AM</v>
                  </pt>
                  <pt idx="28">
                    <v>8:55 AM</v>
                  </pt>
                  <pt idx="29">
                    <v>10:57 AM</v>
                  </pt>
                </lvl>
                <lvl>
                  <pt idx="0">
                    <v>Thu</v>
                  </pt>
                  <pt idx="1">
                    <v>Fri</v>
                  </pt>
                  <pt idx="2">
                    <v>Sat</v>
                  </pt>
                  <pt idx="3">
                    <v>Sun</v>
                  </pt>
                  <pt idx="4">
                    <v>Mon</v>
                  </pt>
                  <pt idx="5">
                    <v>Tue</v>
                  </pt>
                  <pt idx="6">
                    <v>Wed</v>
                  </pt>
                  <pt idx="7">
                    <v>Thu</v>
                  </pt>
                  <pt idx="8">
                    <v>Fri</v>
                  </pt>
                  <pt idx="9">
                    <v>Sat</v>
                  </pt>
                  <pt idx="10">
                    <v>Sun</v>
                  </pt>
                  <pt idx="11">
                    <v>Mon</v>
                  </pt>
                  <pt idx="12">
                    <v>Tue</v>
                  </pt>
                  <pt idx="13">
                    <v>Wed</v>
                  </pt>
                  <pt idx="14">
                    <v>Thu</v>
                  </pt>
                  <pt idx="15">
                    <v>Fri</v>
                  </pt>
                  <pt idx="16">
                    <v>Sat</v>
                  </pt>
                  <pt idx="17">
                    <v>Sun</v>
                  </pt>
                  <pt idx="18">
                    <v>Mon</v>
                  </pt>
                  <pt idx="19">
                    <v>Tue</v>
                  </pt>
                  <pt idx="20">
                    <v>Wed</v>
                  </pt>
                  <pt idx="21">
                    <v>Thu</v>
                  </pt>
                  <pt idx="22">
                    <v>Fri</v>
                  </pt>
                  <pt idx="23">
                    <v>Sat</v>
                  </pt>
                  <pt idx="24">
                    <v>Sun</v>
                  </pt>
                  <pt idx="25">
                    <v>Mon</v>
                  </pt>
                  <pt idx="26">
                    <v>Tue</v>
                  </pt>
                  <pt idx="27">
                    <v>Wed</v>
                  </pt>
                  <pt idx="28">
                    <v>Thu</v>
                  </pt>
                  <pt idx="29">
                    <v>Fri</v>
                  </pt>
                </lvl>
                <lvl>
                  <pt idx="0">
                    <v>2/8</v>
                  </pt>
                  <pt idx="1">
                    <v>2/9</v>
                  </pt>
                  <pt idx="2">
                    <v>2/10</v>
                  </pt>
                  <pt idx="3">
                    <v>2/11</v>
                  </pt>
                  <pt idx="4">
                    <v>2/12</v>
                  </pt>
                  <pt idx="5">
                    <v>2/13</v>
                  </pt>
                  <pt idx="6">
                    <v>2/14</v>
                  </pt>
                  <pt idx="7">
                    <v>2/15</v>
                  </pt>
                  <pt idx="8">
                    <v>2/16</v>
                  </pt>
                  <pt idx="9">
                    <v>2/17</v>
                  </pt>
                  <pt idx="10">
                    <v>2/18</v>
                  </pt>
                  <pt idx="11">
                    <v>2/19</v>
                  </pt>
                  <pt idx="12">
                    <v>2/20</v>
                  </pt>
                  <pt idx="13">
                    <v>2/21</v>
                  </pt>
                  <pt idx="14">
                    <v>2/22</v>
                  </pt>
                  <pt idx="15">
                    <v>2/23</v>
                  </pt>
                  <pt idx="16">
                    <v>2/24</v>
                  </pt>
                  <pt idx="17">
                    <v>2/25</v>
                  </pt>
                  <pt idx="18">
                    <v>2/26</v>
                  </pt>
                  <pt idx="19">
                    <v>2/27</v>
                  </pt>
                  <pt idx="20">
                    <v>2/28</v>
                  </pt>
                  <pt idx="21">
                    <v>2/29</v>
                  </pt>
                  <pt idx="22">
                    <v>3/1</v>
                  </pt>
                  <pt idx="23">
                    <v>3/2</v>
                  </pt>
                  <pt idx="24">
                    <v>3/3</v>
                  </pt>
                  <pt idx="25">
                    <v>3/4</v>
                  </pt>
                  <pt idx="26">
                    <v>3/5</v>
                  </pt>
                  <pt idx="27">
                    <v>3/6</v>
                  </pt>
                  <pt idx="28">
                    <v>3/7</v>
                  </pt>
                  <pt idx="29">
                    <v>3/8</v>
                  </pt>
                </lvl>
              </multiLvlStrCache>
            </multiLvlStrRef>
          </cat>
          <val>
            <numRef>
              <f>'Sheet3'!$E$2:$E$31</f>
              <numCache>
                <ptCount val="30"/>
                <formatCode>General</formatCode>
                <pt idx="0">
                  <v>81</v>
                </pt>
                <pt idx="1">
                  <v>79</v>
                </pt>
                <pt idx="2">
                  <v>77</v>
                </pt>
                <pt idx="3">
                  <v>80</v>
                </pt>
                <pt idx="4">
                  <v>74</v>
                </pt>
                <pt idx="5">
                  <v>72</v>
                </pt>
                <pt idx="6">
                  <v>76</v>
                </pt>
                <pt idx="7">
                  <v>77</v>
                </pt>
                <pt idx="8">
                  <v>78</v>
                </pt>
                <pt idx="9">
                  <v>80</v>
                </pt>
                <pt idx="10"/>
                <pt idx="11">
                  <v>81</v>
                </pt>
                <pt idx="12">
                  <v>81</v>
                </pt>
                <pt idx="13">
                  <v>75</v>
                </pt>
                <pt idx="14">
                  <v>78</v>
                </pt>
                <pt idx="15">
                  <v>73</v>
                </pt>
                <pt idx="16">
                  <v>76</v>
                </pt>
                <pt idx="17">
                  <v>74</v>
                </pt>
                <pt idx="18">
                  <v>81</v>
                </pt>
                <pt idx="19">
                  <v>75</v>
                </pt>
                <pt idx="20">
                  <v>84</v>
                </pt>
                <pt idx="21">
                  <v>74</v>
                </pt>
                <pt idx="22">
                  <v>71</v>
                </pt>
                <pt idx="23">
                  <v>79</v>
                </pt>
                <pt idx="24">
                  <v>88</v>
                </pt>
                <pt idx="25">
                  <v>81</v>
                </pt>
                <pt idx="26">
                  <v>83</v>
                </pt>
                <pt idx="27">
                  <v>75</v>
                </pt>
                <pt idx="28">
                  <v>79</v>
                </pt>
                <pt idx="29">
                  <v>80</v>
                </pt>
              </numCache>
            </numRef>
          </val>
          <smooth val="0"/>
        </ser>
        <ser>
          <idx val="2"/>
          <order val="2"/>
          <tx>
            <strRef>
              <f>'Sheet3'!F1</f>
            </strRef>
          </tx>
          <spPr>
            <a:ln w="20000">
              <a:solidFill>
                <a:srgbClr val="2ECC71"/>
              </a:solidFill>
              <a:prstDash val="solid"/>
            </a:ln>
          </spPr>
          <marker>
            <symbol val="circle"/>
            <size val="6"/>
            <spPr>
              <a:solidFill>
                <a:srgbClr val="2ECC71"/>
              </a:solidFill>
              <a:ln>
                <a:solidFill>
                  <a:srgbClr val="2ECC71"/>
                </a:solidFill>
                <a:prstDash val="solid"/>
              </a:ln>
            </spPr>
          </marker>
          <cat>
            <multiLvlStrRef>
              <f>'Sheet3'!$A$2:$C$31</f>
              <multiLvlStrCache>
                <ptCount val="30"/>
                <lvl>
                  <pt idx="0">
                    <v>10:50 AM</v>
                  </pt>
                  <pt idx="1">
                    <v>10:03 AM</v>
                  </pt>
                  <pt idx="2">
                    <v>10:19 AM</v>
                  </pt>
                  <pt idx="3">
                    <v>10:11 AM</v>
                  </pt>
                  <pt idx="4">
                    <v>10:18 AM</v>
                  </pt>
                  <pt idx="5">
                    <v>10:33 AM</v>
                  </pt>
                  <pt idx="6">
                    <v>10:20 AM</v>
                  </pt>
                  <pt idx="7">
                    <v>11:22 AM</v>
                  </pt>
                  <pt idx="8">
                    <v>10:29 AM</v>
                  </pt>
                  <pt idx="9">
                    <v>10:09 AM</v>
                  </pt>
                  <pt idx="10">
                    <v>--</v>
                  </pt>
                  <pt idx="11">
                    <v>10:12 AM</v>
                  </pt>
                  <pt idx="12">
                    <v>10:12 AM</v>
                  </pt>
                  <pt idx="13">
                    <v>11:32 AM</v>
                  </pt>
                  <pt idx="14">
                    <v>12:00 PM</v>
                  </pt>
                  <pt idx="15">
                    <v>10:32 AM</v>
                  </pt>
                  <pt idx="16">
                    <v>10:10 AM</v>
                  </pt>
                  <pt idx="17">
                    <v>10:38 AM</v>
                  </pt>
                  <pt idx="18">
                    <v>10:57 AM</v>
                  </pt>
                  <pt idx="19">
                    <v>10:35 AM</v>
                  </pt>
                  <pt idx="20">
                    <v>11:31 AM</v>
                  </pt>
                  <pt idx="21">
                    <v>10:57 AM</v>
                  </pt>
                  <pt idx="22">
                    <v>11:30 AM</v>
                  </pt>
                  <pt idx="23">
                    <v>10:32 AM</v>
                  </pt>
                  <pt idx="24">
                    <v>11:29 AM</v>
                  </pt>
                  <pt idx="25">
                    <v>10:14 AM</v>
                  </pt>
                  <pt idx="26">
                    <v>10:57 AM</v>
                  </pt>
                  <pt idx="27">
                    <v>10:30 AM</v>
                  </pt>
                  <pt idx="28">
                    <v>8:55 AM</v>
                  </pt>
                  <pt idx="29">
                    <v>10:57 AM</v>
                  </pt>
                </lvl>
                <lvl>
                  <pt idx="0">
                    <v>Thu</v>
                  </pt>
                  <pt idx="1">
                    <v>Fri</v>
                  </pt>
                  <pt idx="2">
                    <v>Sat</v>
                  </pt>
                  <pt idx="3">
                    <v>Sun</v>
                  </pt>
                  <pt idx="4">
                    <v>Mon</v>
                  </pt>
                  <pt idx="5">
                    <v>Tue</v>
                  </pt>
                  <pt idx="6">
                    <v>Wed</v>
                  </pt>
                  <pt idx="7">
                    <v>Thu</v>
                  </pt>
                  <pt idx="8">
                    <v>Fri</v>
                  </pt>
                  <pt idx="9">
                    <v>Sat</v>
                  </pt>
                  <pt idx="10">
                    <v>Sun</v>
                  </pt>
                  <pt idx="11">
                    <v>Mon</v>
                  </pt>
                  <pt idx="12">
                    <v>Tue</v>
                  </pt>
                  <pt idx="13">
                    <v>Wed</v>
                  </pt>
                  <pt idx="14">
                    <v>Thu</v>
                  </pt>
                  <pt idx="15">
                    <v>Fri</v>
                  </pt>
                  <pt idx="16">
                    <v>Sat</v>
                  </pt>
                  <pt idx="17">
                    <v>Sun</v>
                  </pt>
                  <pt idx="18">
                    <v>Mon</v>
                  </pt>
                  <pt idx="19">
                    <v>Tue</v>
                  </pt>
                  <pt idx="20">
                    <v>Wed</v>
                  </pt>
                  <pt idx="21">
                    <v>Thu</v>
                  </pt>
                  <pt idx="22">
                    <v>Fri</v>
                  </pt>
                  <pt idx="23">
                    <v>Sat</v>
                  </pt>
                  <pt idx="24">
                    <v>Sun</v>
                  </pt>
                  <pt idx="25">
                    <v>Mon</v>
                  </pt>
                  <pt idx="26">
                    <v>Tue</v>
                  </pt>
                  <pt idx="27">
                    <v>Wed</v>
                  </pt>
                  <pt idx="28">
                    <v>Thu</v>
                  </pt>
                  <pt idx="29">
                    <v>Fri</v>
                  </pt>
                </lvl>
                <lvl>
                  <pt idx="0">
                    <v>2/8</v>
                  </pt>
                  <pt idx="1">
                    <v>2/9</v>
                  </pt>
                  <pt idx="2">
                    <v>2/10</v>
                  </pt>
                  <pt idx="3">
                    <v>2/11</v>
                  </pt>
                  <pt idx="4">
                    <v>2/12</v>
                  </pt>
                  <pt idx="5">
                    <v>2/13</v>
                  </pt>
                  <pt idx="6">
                    <v>2/14</v>
                  </pt>
                  <pt idx="7">
                    <v>2/15</v>
                  </pt>
                  <pt idx="8">
                    <v>2/16</v>
                  </pt>
                  <pt idx="9">
                    <v>2/17</v>
                  </pt>
                  <pt idx="10">
                    <v>2/18</v>
                  </pt>
                  <pt idx="11">
                    <v>2/19</v>
                  </pt>
                  <pt idx="12">
                    <v>2/20</v>
                  </pt>
                  <pt idx="13">
                    <v>2/21</v>
                  </pt>
                  <pt idx="14">
                    <v>2/22</v>
                  </pt>
                  <pt idx="15">
                    <v>2/23</v>
                  </pt>
                  <pt idx="16">
                    <v>2/24</v>
                  </pt>
                  <pt idx="17">
                    <v>2/25</v>
                  </pt>
                  <pt idx="18">
                    <v>2/26</v>
                  </pt>
                  <pt idx="19">
                    <v>2/27</v>
                  </pt>
                  <pt idx="20">
                    <v>2/28</v>
                  </pt>
                  <pt idx="21">
                    <v>2/29</v>
                  </pt>
                  <pt idx="22">
                    <v>3/1</v>
                  </pt>
                  <pt idx="23">
                    <v>3/2</v>
                  </pt>
                  <pt idx="24">
                    <v>3/3</v>
                  </pt>
                  <pt idx="25">
                    <v>3/4</v>
                  </pt>
                  <pt idx="26">
                    <v>3/5</v>
                  </pt>
                  <pt idx="27">
                    <v>3/6</v>
                  </pt>
                  <pt idx="28">
                    <v>3/7</v>
                  </pt>
                  <pt idx="29">
                    <v>3/8</v>
                  </pt>
                </lvl>
              </multiLvlStrCache>
            </multiLvlStrRef>
          </cat>
          <val>
            <numRef>
              <f>'Sheet3'!$F$2:$F$31</f>
              <numCache>
                <ptCount val="30"/>
                <formatCode>General</formatCode>
                <pt idx="0">
                  <v>57</v>
                </pt>
                <pt idx="1">
                  <v>59</v>
                </pt>
                <pt idx="2">
                  <v>62</v>
                </pt>
                <pt idx="3">
                  <v>56</v>
                </pt>
                <pt idx="4">
                  <v>59</v>
                </pt>
                <pt idx="5">
                  <v>63</v>
                </pt>
                <pt idx="6">
                  <v>66</v>
                </pt>
                <pt idx="7">
                  <v>56</v>
                </pt>
                <pt idx="8">
                  <v>60</v>
                </pt>
                <pt idx="9">
                  <v>56</v>
                </pt>
                <pt idx="10"/>
                <pt idx="11">
                  <v>56</v>
                </pt>
                <pt idx="12">
                  <v>64</v>
                </pt>
                <pt idx="13">
                  <v>62</v>
                </pt>
                <pt idx="14">
                  <v>67</v>
                </pt>
                <pt idx="15">
                  <v>63</v>
                </pt>
                <pt idx="16">
                  <v>60</v>
                </pt>
                <pt idx="17">
                  <v>62</v>
                </pt>
                <pt idx="18">
                  <v>64</v>
                </pt>
                <pt idx="19">
                  <v>63</v>
                </pt>
                <pt idx="20">
                  <v>63</v>
                </pt>
                <pt idx="21">
                  <v>68</v>
                </pt>
                <pt idx="22">
                  <v>63</v>
                </pt>
                <pt idx="23">
                  <v>65</v>
                </pt>
                <pt idx="24">
                  <v>60</v>
                </pt>
                <pt idx="25">
                  <v>60</v>
                </pt>
                <pt idx="26">
                  <v>62</v>
                </pt>
                <pt idx="27">
                  <v>59</v>
                </pt>
                <pt idx="28">
                  <v>64</v>
                </pt>
                <pt idx="29">
                  <v>67</v>
                </pt>
              </numCache>
            </numRef>
          </val>
          <smooth val="0"/>
        </ser>
        <ser>
          <idx val="3"/>
          <order val="3"/>
          <tx>
            <strRef>
              <f>'Sheet3'!G1</f>
            </strRef>
          </tx>
          <spPr>
            <a:ln w="20000">
              <a:solidFill>
                <a:srgbClr val="F39C12"/>
              </a:solidFill>
              <a:prstDash val="solid"/>
            </a:ln>
          </spPr>
          <marker>
            <symbol val="circle"/>
            <size val="6"/>
            <spPr>
              <a:solidFill>
                <a:srgbClr val="F39C12"/>
              </a:solidFill>
              <a:ln>
                <a:solidFill>
                  <a:srgbClr val="F39C12"/>
                </a:solidFill>
                <a:prstDash val="solid"/>
              </a:ln>
            </spPr>
          </marker>
          <cat>
            <multiLvlStrRef>
              <f>'Sheet3'!$A$2:$C$31</f>
              <multiLvlStrCache>
                <ptCount val="30"/>
                <lvl>
                  <pt idx="0">
                    <v>10:50 AM</v>
                  </pt>
                  <pt idx="1">
                    <v>10:03 AM</v>
                  </pt>
                  <pt idx="2">
                    <v>10:19 AM</v>
                  </pt>
                  <pt idx="3">
                    <v>10:11 AM</v>
                  </pt>
                  <pt idx="4">
                    <v>10:18 AM</v>
                  </pt>
                  <pt idx="5">
                    <v>10:33 AM</v>
                  </pt>
                  <pt idx="6">
                    <v>10:20 AM</v>
                  </pt>
                  <pt idx="7">
                    <v>11:22 AM</v>
                  </pt>
                  <pt idx="8">
                    <v>10:29 AM</v>
                  </pt>
                  <pt idx="9">
                    <v>10:09 AM</v>
                  </pt>
                  <pt idx="10">
                    <v>--</v>
                  </pt>
                  <pt idx="11">
                    <v>10:12 AM</v>
                  </pt>
                  <pt idx="12">
                    <v>10:12 AM</v>
                  </pt>
                  <pt idx="13">
                    <v>11:32 AM</v>
                  </pt>
                  <pt idx="14">
                    <v>12:00 PM</v>
                  </pt>
                  <pt idx="15">
                    <v>10:32 AM</v>
                  </pt>
                  <pt idx="16">
                    <v>10:10 AM</v>
                  </pt>
                  <pt idx="17">
                    <v>10:38 AM</v>
                  </pt>
                  <pt idx="18">
                    <v>10:57 AM</v>
                  </pt>
                  <pt idx="19">
                    <v>10:35 AM</v>
                  </pt>
                  <pt idx="20">
                    <v>11:31 AM</v>
                  </pt>
                  <pt idx="21">
                    <v>10:57 AM</v>
                  </pt>
                  <pt idx="22">
                    <v>11:30 AM</v>
                  </pt>
                  <pt idx="23">
                    <v>10:32 AM</v>
                  </pt>
                  <pt idx="24">
                    <v>11:29 AM</v>
                  </pt>
                  <pt idx="25">
                    <v>10:14 AM</v>
                  </pt>
                  <pt idx="26">
                    <v>10:57 AM</v>
                  </pt>
                  <pt idx="27">
                    <v>10:30 AM</v>
                  </pt>
                  <pt idx="28">
                    <v>8:55 AM</v>
                  </pt>
                  <pt idx="29">
                    <v>10:57 AM</v>
                  </pt>
                </lvl>
                <lvl>
                  <pt idx="0">
                    <v>Thu</v>
                  </pt>
                  <pt idx="1">
                    <v>Fri</v>
                  </pt>
                  <pt idx="2">
                    <v>Sat</v>
                  </pt>
                  <pt idx="3">
                    <v>Sun</v>
                  </pt>
                  <pt idx="4">
                    <v>Mon</v>
                  </pt>
                  <pt idx="5">
                    <v>Tue</v>
                  </pt>
                  <pt idx="6">
                    <v>Wed</v>
                  </pt>
                  <pt idx="7">
                    <v>Thu</v>
                  </pt>
                  <pt idx="8">
                    <v>Fri</v>
                  </pt>
                  <pt idx="9">
                    <v>Sat</v>
                  </pt>
                  <pt idx="10">
                    <v>Sun</v>
                  </pt>
                  <pt idx="11">
                    <v>Mon</v>
                  </pt>
                  <pt idx="12">
                    <v>Tue</v>
                  </pt>
                  <pt idx="13">
                    <v>Wed</v>
                  </pt>
                  <pt idx="14">
                    <v>Thu</v>
                  </pt>
                  <pt idx="15">
                    <v>Fri</v>
                  </pt>
                  <pt idx="16">
                    <v>Sat</v>
                  </pt>
                  <pt idx="17">
                    <v>Sun</v>
                  </pt>
                  <pt idx="18">
                    <v>Mon</v>
                  </pt>
                  <pt idx="19">
                    <v>Tue</v>
                  </pt>
                  <pt idx="20">
                    <v>Wed</v>
                  </pt>
                  <pt idx="21">
                    <v>Thu</v>
                  </pt>
                  <pt idx="22">
                    <v>Fri</v>
                  </pt>
                  <pt idx="23">
                    <v>Sat</v>
                  </pt>
                  <pt idx="24">
                    <v>Sun</v>
                  </pt>
                  <pt idx="25">
                    <v>Mon</v>
                  </pt>
                  <pt idx="26">
                    <v>Tue</v>
                  </pt>
                  <pt idx="27">
                    <v>Wed</v>
                  </pt>
                  <pt idx="28">
                    <v>Thu</v>
                  </pt>
                  <pt idx="29">
                    <v>Fri</v>
                  </pt>
                </lvl>
                <lvl>
                  <pt idx="0">
                    <v>2/8</v>
                  </pt>
                  <pt idx="1">
                    <v>2/9</v>
                  </pt>
                  <pt idx="2">
                    <v>2/10</v>
                  </pt>
                  <pt idx="3">
                    <v>2/11</v>
                  </pt>
                  <pt idx="4">
                    <v>2/12</v>
                  </pt>
                  <pt idx="5">
                    <v>2/13</v>
                  </pt>
                  <pt idx="6">
                    <v>2/14</v>
                  </pt>
                  <pt idx="7">
                    <v>2/15</v>
                  </pt>
                  <pt idx="8">
                    <v>2/16</v>
                  </pt>
                  <pt idx="9">
                    <v>2/17</v>
                  </pt>
                  <pt idx="10">
                    <v>2/18</v>
                  </pt>
                  <pt idx="11">
                    <v>2/19</v>
                  </pt>
                  <pt idx="12">
                    <v>2/20</v>
                  </pt>
                  <pt idx="13">
                    <v>2/21</v>
                  </pt>
                  <pt idx="14">
                    <v>2/22</v>
                  </pt>
                  <pt idx="15">
                    <v>2/23</v>
                  </pt>
                  <pt idx="16">
                    <v>2/24</v>
                  </pt>
                  <pt idx="17">
                    <v>2/25</v>
                  </pt>
                  <pt idx="18">
                    <v>2/26</v>
                  </pt>
                  <pt idx="19">
                    <v>2/27</v>
                  </pt>
                  <pt idx="20">
                    <v>2/28</v>
                  </pt>
                  <pt idx="21">
                    <v>2/29</v>
                  </pt>
                  <pt idx="22">
                    <v>3/1</v>
                  </pt>
                  <pt idx="23">
                    <v>3/2</v>
                  </pt>
                  <pt idx="24">
                    <v>3/3</v>
                  </pt>
                  <pt idx="25">
                    <v>3/4</v>
                  </pt>
                  <pt idx="26">
                    <v>3/5</v>
                  </pt>
                  <pt idx="27">
                    <v>3/6</v>
                  </pt>
                  <pt idx="28">
                    <v>3/7</v>
                  </pt>
                  <pt idx="29">
                    <v>3/8</v>
                  </pt>
                </lvl>
              </multiLvlStrCache>
            </multiLvlStrRef>
          </cat>
          <val>
            <numRef>
              <f>'Sheet3'!$G$2:$G$31</f>
              <numCache>
                <ptCount val="30"/>
                <formatCode>General</formatCode>
                <pt idx="0">
                  <v>174</v>
                </pt>
                <pt idx="1">
                  <v>175</v>
                </pt>
                <pt idx="2">
                  <v>166</v>
                </pt>
                <pt idx="3">
                  <v>172</v>
                </pt>
                <pt idx="4">
                  <v>180</v>
                </pt>
                <pt idx="5">
                  <v>180</v>
                </pt>
                <pt idx="6">
                  <v>189</v>
                </pt>
                <pt idx="7">
                  <v>160</v>
                </pt>
                <pt idx="8">
                  <v>225</v>
                </pt>
                <pt idx="9">
                  <v>185</v>
                </pt>
                <pt idx="10"/>
                <pt idx="11">
                  <v>174</v>
                </pt>
                <pt idx="12">
                  <v>192</v>
                </pt>
                <pt idx="13">
                  <v>169</v>
                </pt>
                <pt idx="14">
                  <v>148</v>
                </pt>
                <pt idx="15">
                  <v>167</v>
                </pt>
                <pt idx="16">
                  <v>195</v>
                </pt>
                <pt idx="17">
                  <v>170</v>
                </pt>
                <pt idx="18">
                  <v>195</v>
                </pt>
                <pt idx="19">
                  <v>157</v>
                </pt>
                <pt idx="20">
                  <v>200</v>
                </pt>
                <pt idx="21">
                  <v>176</v>
                </pt>
                <pt idx="22">
                  <v>162</v>
                </pt>
                <pt idx="23">
                  <v>191</v>
                </pt>
                <pt idx="24">
                  <v>235</v>
                </pt>
                <pt idx="25">
                  <v>132</v>
                </pt>
                <pt idx="26">
                  <v>183</v>
                </pt>
                <pt idx="27">
                  <v>176</v>
                </pt>
                <pt idx="28">
                  <v>185</v>
                </pt>
                <pt idx="29">
                  <v>168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 / Day / Time</a:t>
                </a:r>
              </a:p>
            </rich>
          </tx>
        </title>
        <majorTickMark val="none"/>
        <minorTickMark val="none"/>
        <txPr>
          <a:bodyPr rot="-2700000" vert="horz" wrap="square" anchor="ctr" anchorCtr="1"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  <noMultiLvlLblDrop val="1"/>
      </catAx>
      <valAx>
        <axId val="100"/>
        <scaling>
          <orientation val="minMax"/>
          <max val="25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 Value</a:t>
                </a:r>
              </a:p>
            </rich>
          </tx>
        </title>
        <majorTickMark val="none"/>
        <minorTickMark val="none"/>
        <crossAx val="10"/>
        <majorUnit val="5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368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G38" sqref="A1:G38"/>
    </sheetView>
  </sheetViews>
  <sheetFormatPr baseColWidth="10" defaultColWidth="8.83203125" defaultRowHeight="16"/>
  <cols>
    <col width="11.5" bestFit="1" customWidth="1" style="23" min="1" max="1"/>
  </cols>
  <sheetData>
    <row r="1">
      <c r="A1" s="24" t="n">
        <v>45323</v>
      </c>
    </row>
    <row r="2">
      <c r="A2" s="25" t="inlineStr">
        <is>
          <t>date</t>
        </is>
      </c>
      <c r="B2" s="25" t="inlineStr">
        <is>
          <t>day</t>
        </is>
      </c>
      <c r="C2" s="26" t="inlineStr">
        <is>
          <t>time</t>
        </is>
      </c>
      <c r="D2" s="20" t="inlineStr">
        <is>
          <t>Systolic</t>
        </is>
      </c>
      <c r="E2" s="20" t="inlineStr">
        <is>
          <t>Diastolic</t>
        </is>
      </c>
      <c r="F2" s="20" t="inlineStr">
        <is>
          <t>Pulse</t>
        </is>
      </c>
      <c r="G2" s="20" t="inlineStr">
        <is>
          <t>Sugar</t>
        </is>
      </c>
    </row>
    <row r="3">
      <c r="A3" s="27" t="n">
        <v>45323</v>
      </c>
      <c r="B3" s="25">
        <f>TEXT(A3,"DDD")</f>
        <v/>
      </c>
      <c r="C3" s="26" t="n">
        <v>0.4395833333333333</v>
      </c>
      <c r="D3" s="3" t="n">
        <v>130</v>
      </c>
      <c r="E3" s="3" t="n">
        <v>88</v>
      </c>
      <c r="F3" s="3" t="n">
        <v>62</v>
      </c>
      <c r="G3" s="5" t="n">
        <v>173</v>
      </c>
    </row>
    <row r="4">
      <c r="A4" s="27" t="n">
        <v>45324</v>
      </c>
      <c r="B4" s="25">
        <f>TEXT(A4,"DDD")</f>
        <v/>
      </c>
      <c r="C4" s="26" t="n">
        <v>0.4493055555555556</v>
      </c>
      <c r="D4" s="3" t="n">
        <v>136</v>
      </c>
      <c r="E4" s="3" t="n">
        <v>80</v>
      </c>
      <c r="F4" s="3" t="n">
        <v>60</v>
      </c>
      <c r="G4" s="5" t="n">
        <v>203</v>
      </c>
    </row>
    <row r="5">
      <c r="A5" s="27" t="n">
        <v>45325</v>
      </c>
      <c r="B5" s="25">
        <f>TEXT(A5,"DDD")</f>
        <v/>
      </c>
      <c r="C5" s="26" t="n">
        <v>0.4229166666666667</v>
      </c>
      <c r="D5" s="3" t="n">
        <v>144</v>
      </c>
      <c r="E5" s="3" t="n">
        <v>72</v>
      </c>
      <c r="F5" s="3" t="n">
        <v>58</v>
      </c>
      <c r="G5" s="5" t="n">
        <v>216</v>
      </c>
    </row>
    <row r="6">
      <c r="A6" s="27" t="n">
        <v>45326</v>
      </c>
      <c r="B6" s="25">
        <f>TEXT(A6,"DDD")</f>
        <v/>
      </c>
      <c r="C6" s="26" t="n">
        <v>0.4243055555555555</v>
      </c>
      <c r="D6" s="3" t="n">
        <v>131</v>
      </c>
      <c r="E6" s="3" t="n">
        <v>76</v>
      </c>
      <c r="F6" s="3" t="n">
        <v>65</v>
      </c>
      <c r="G6" s="5" t="n">
        <v>163</v>
      </c>
    </row>
    <row r="7">
      <c r="A7" s="27" t="n">
        <v>45327</v>
      </c>
      <c r="B7" s="25">
        <f>TEXT(A7,"DDD")</f>
        <v/>
      </c>
      <c r="C7" s="26" t="n">
        <v>0.4270833333333333</v>
      </c>
      <c r="D7" s="3" t="n">
        <v>128</v>
      </c>
      <c r="E7" s="3" t="n">
        <v>72</v>
      </c>
      <c r="F7" s="3" t="n">
        <v>61</v>
      </c>
      <c r="G7" s="5" t="n">
        <v>155</v>
      </c>
    </row>
    <row r="8">
      <c r="A8" s="27" t="n">
        <v>45328</v>
      </c>
      <c r="B8" s="25">
        <f>TEXT(A8,"DDD")</f>
        <v/>
      </c>
      <c r="C8" s="26" t="n">
        <v>0.4270833333333333</v>
      </c>
      <c r="D8" s="3" t="n">
        <v>130</v>
      </c>
      <c r="E8" s="3" t="n">
        <v>76</v>
      </c>
      <c r="F8" s="3" t="n">
        <v>60</v>
      </c>
      <c r="G8" s="5" t="n">
        <v>178</v>
      </c>
    </row>
    <row r="9">
      <c r="A9" s="27" t="n">
        <v>45329</v>
      </c>
      <c r="B9" s="25">
        <f>TEXT(A9,"DDD")</f>
        <v/>
      </c>
      <c r="C9" s="26" t="n">
        <v>0.4513888888888889</v>
      </c>
      <c r="D9" s="3" t="n">
        <v>126</v>
      </c>
      <c r="E9" s="3" t="n">
        <v>78</v>
      </c>
      <c r="F9" s="3" t="n">
        <v>59</v>
      </c>
      <c r="G9" s="5" t="n">
        <v>181</v>
      </c>
    </row>
    <row r="10">
      <c r="A10" s="27" t="n">
        <v>45330</v>
      </c>
      <c r="B10" s="25">
        <f>TEXT(A10,"DDD")</f>
        <v/>
      </c>
      <c r="C10" s="26" t="n">
        <v>0.4513888888888889</v>
      </c>
      <c r="D10" s="3" t="n">
        <v>143</v>
      </c>
      <c r="E10" s="3" t="n">
        <v>81</v>
      </c>
      <c r="F10" s="3" t="n">
        <v>57</v>
      </c>
      <c r="G10" s="5" t="n">
        <v>174</v>
      </c>
    </row>
    <row r="11">
      <c r="A11" s="27" t="n">
        <v>45331</v>
      </c>
      <c r="B11" s="25">
        <f>TEXT(A11,"DDD")</f>
        <v/>
      </c>
      <c r="C11" s="26" t="n">
        <v>0.41875</v>
      </c>
      <c r="D11" s="3" t="n">
        <v>128</v>
      </c>
      <c r="E11" s="3" t="n">
        <v>79</v>
      </c>
      <c r="F11" s="3" t="n">
        <v>59</v>
      </c>
      <c r="G11" s="5" t="n">
        <v>175</v>
      </c>
    </row>
    <row r="12">
      <c r="A12" s="27" t="n">
        <v>45332</v>
      </c>
      <c r="B12" s="25">
        <f>TEXT(A12,"DDD")</f>
        <v/>
      </c>
      <c r="C12" s="26" t="n">
        <v>0.4298611111111111</v>
      </c>
      <c r="D12" s="3" t="n">
        <v>122</v>
      </c>
      <c r="E12" s="3" t="n">
        <v>77</v>
      </c>
      <c r="F12" s="3" t="n">
        <v>62</v>
      </c>
      <c r="G12" s="5" t="n">
        <v>166</v>
      </c>
    </row>
    <row r="13">
      <c r="A13" s="27" t="n">
        <v>45333</v>
      </c>
      <c r="B13" s="25">
        <f>TEXT(A13,"DDD")</f>
        <v/>
      </c>
      <c r="C13" s="26" t="n">
        <v>0.4243055555555555</v>
      </c>
      <c r="D13" s="3" t="n">
        <v>128</v>
      </c>
      <c r="E13" s="3" t="n">
        <v>80</v>
      </c>
      <c r="F13" s="3" t="n">
        <v>56</v>
      </c>
      <c r="G13" s="5" t="n">
        <v>172</v>
      </c>
    </row>
    <row r="14">
      <c r="A14" s="27" t="n">
        <v>45334</v>
      </c>
      <c r="B14" s="25">
        <f>TEXT(A14,"DDD")</f>
        <v/>
      </c>
      <c r="C14" s="26" t="n">
        <v>0.4291666666666666</v>
      </c>
      <c r="D14" s="3" t="n">
        <v>135</v>
      </c>
      <c r="E14" s="3" t="n">
        <v>74</v>
      </c>
      <c r="F14" s="3" t="n">
        <v>59</v>
      </c>
      <c r="G14" s="5" t="n">
        <v>180</v>
      </c>
    </row>
    <row r="15">
      <c r="A15" s="27" t="n">
        <v>45335</v>
      </c>
      <c r="B15" s="25">
        <f>TEXT(A15,"DDD")</f>
        <v/>
      </c>
      <c r="C15" s="26" t="n">
        <v>0.4395833333333333</v>
      </c>
      <c r="D15" s="3" t="n">
        <v>135</v>
      </c>
      <c r="E15" s="3" t="n">
        <v>72</v>
      </c>
      <c r="F15" s="3" t="n">
        <v>63</v>
      </c>
      <c r="G15" s="5" t="n">
        <v>180</v>
      </c>
    </row>
    <row r="16">
      <c r="A16" s="27" t="n">
        <v>45336</v>
      </c>
      <c r="B16" s="25">
        <f>TEXT(A16,"DDD")</f>
        <v/>
      </c>
      <c r="C16" s="26" t="n">
        <v>0.4305555555555556</v>
      </c>
      <c r="D16" s="3" t="n">
        <v>147</v>
      </c>
      <c r="E16" s="3" t="n">
        <v>76</v>
      </c>
      <c r="F16" s="3" t="n">
        <v>66</v>
      </c>
      <c r="G16" s="5" t="n">
        <v>189</v>
      </c>
    </row>
    <row r="17">
      <c r="A17" s="27" t="n">
        <v>45337</v>
      </c>
      <c r="B17" s="25">
        <f>TEXT(A17,"DDD")</f>
        <v/>
      </c>
      <c r="C17" s="26" t="n">
        <v>0.4736111111111111</v>
      </c>
      <c r="D17" s="3" t="n">
        <v>129</v>
      </c>
      <c r="E17" s="3" t="n">
        <v>77</v>
      </c>
      <c r="F17" s="3" t="n">
        <v>56</v>
      </c>
      <c r="G17" s="5" t="n">
        <v>160</v>
      </c>
    </row>
    <row r="18">
      <c r="A18" s="27" t="n">
        <v>45338</v>
      </c>
      <c r="B18" s="25">
        <f>TEXT(A18,"DDD")</f>
        <v/>
      </c>
      <c r="C18" s="26" t="n">
        <v>0.4368055555555556</v>
      </c>
      <c r="D18" s="3" t="n">
        <v>131</v>
      </c>
      <c r="E18" s="3" t="n">
        <v>78</v>
      </c>
      <c r="F18" s="3" t="n">
        <v>60</v>
      </c>
      <c r="G18" s="5" t="n">
        <v>225</v>
      </c>
    </row>
    <row r="19">
      <c r="A19" s="27" t="n">
        <v>45339</v>
      </c>
      <c r="B19" s="25">
        <f>TEXT(A19,"DDD")</f>
        <v/>
      </c>
      <c r="C19" s="26" t="n">
        <v>0.4229166666666667</v>
      </c>
      <c r="D19" s="3" t="n">
        <v>129</v>
      </c>
      <c r="E19" s="3" t="n">
        <v>80</v>
      </c>
      <c r="F19" s="3" t="n">
        <v>56</v>
      </c>
      <c r="G19" s="5" t="n">
        <v>185</v>
      </c>
    </row>
    <row r="20">
      <c r="A20" s="27" t="n">
        <v>45340</v>
      </c>
      <c r="B20" s="25">
        <f>TEXT(A20,"DDD")</f>
        <v/>
      </c>
      <c r="C20" s="26" t="n"/>
      <c r="D20" s="3" t="n"/>
      <c r="E20" s="3" t="n"/>
      <c r="F20" s="3" t="n"/>
      <c r="G20" s="5" t="n"/>
    </row>
    <row r="21">
      <c r="A21" s="27" t="n">
        <v>45341</v>
      </c>
      <c r="B21" s="25">
        <f>TEXT(A21,"DDD")</f>
        <v/>
      </c>
      <c r="C21" s="26" t="n">
        <v>0.425</v>
      </c>
      <c r="D21" s="3" t="n">
        <v>140</v>
      </c>
      <c r="E21" s="3" t="n">
        <v>81</v>
      </c>
      <c r="F21" s="3" t="n">
        <v>56</v>
      </c>
      <c r="G21" s="5" t="n">
        <v>174</v>
      </c>
    </row>
    <row r="22">
      <c r="A22" s="27" t="n">
        <v>45342</v>
      </c>
      <c r="B22" s="25">
        <f>TEXT(A22,"DDD")</f>
        <v/>
      </c>
      <c r="C22" s="26" t="n">
        <v>0.425</v>
      </c>
      <c r="D22" s="3" t="n">
        <v>125</v>
      </c>
      <c r="E22" s="3" t="n">
        <v>81</v>
      </c>
      <c r="F22" s="3" t="n">
        <v>64</v>
      </c>
      <c r="G22" s="5" t="n">
        <v>192</v>
      </c>
    </row>
    <row r="23">
      <c r="A23" s="27" t="n">
        <v>45343</v>
      </c>
      <c r="B23" s="25">
        <f>TEXT(A23,"DDD")</f>
        <v/>
      </c>
      <c r="C23" s="26" t="n">
        <v>0.4805555555555556</v>
      </c>
      <c r="D23" s="3" t="n">
        <v>120</v>
      </c>
      <c r="E23" s="3" t="n">
        <v>75</v>
      </c>
      <c r="F23" s="3" t="n">
        <v>62</v>
      </c>
      <c r="G23" s="5" t="n">
        <v>169</v>
      </c>
    </row>
    <row r="24">
      <c r="A24" s="27" t="n">
        <v>45344</v>
      </c>
      <c r="B24" s="25">
        <f>TEXT(A24,"DDD")</f>
        <v/>
      </c>
      <c r="C24" s="26" t="n">
        <v>0.5</v>
      </c>
      <c r="D24" s="3" t="n">
        <v>101</v>
      </c>
      <c r="E24" s="3" t="n">
        <v>78</v>
      </c>
      <c r="F24" s="3" t="n">
        <v>67</v>
      </c>
      <c r="G24" s="5" t="n">
        <v>148</v>
      </c>
    </row>
    <row r="25">
      <c r="A25" s="27" t="n">
        <v>45345</v>
      </c>
      <c r="B25" s="25">
        <f>TEXT(A25,"DDD")</f>
        <v/>
      </c>
      <c r="C25" s="26" t="n">
        <v>0.4388888888888889</v>
      </c>
      <c r="D25" s="3" t="n">
        <v>115</v>
      </c>
      <c r="E25" s="3" t="n">
        <v>73</v>
      </c>
      <c r="F25" s="3" t="n">
        <v>63</v>
      </c>
      <c r="G25" s="5" t="n">
        <v>167</v>
      </c>
    </row>
    <row r="26">
      <c r="A26" s="27" t="n">
        <v>45346</v>
      </c>
      <c r="B26" s="25">
        <f>TEXT(A26,"DDD")</f>
        <v/>
      </c>
      <c r="C26" s="26" t="n">
        <v>0.4236111111111111</v>
      </c>
      <c r="D26" s="3" t="n">
        <v>126</v>
      </c>
      <c r="E26" s="3" t="n">
        <v>76</v>
      </c>
      <c r="F26" s="3" t="n">
        <v>60</v>
      </c>
      <c r="G26" s="5" t="n">
        <v>195</v>
      </c>
    </row>
    <row r="27">
      <c r="A27" s="27" t="n">
        <v>45347</v>
      </c>
      <c r="B27" s="25">
        <f>TEXT(A27,"DDD")</f>
        <v/>
      </c>
      <c r="C27" s="26" t="n">
        <v>0.4430555555555555</v>
      </c>
      <c r="D27" s="3" t="n">
        <v>118</v>
      </c>
      <c r="E27" s="3" t="n">
        <v>74</v>
      </c>
      <c r="F27" s="3" t="n">
        <v>62</v>
      </c>
      <c r="G27" s="5" t="n">
        <v>170</v>
      </c>
    </row>
    <row r="28">
      <c r="A28" s="27" t="n">
        <v>45348</v>
      </c>
      <c r="B28" s="25">
        <f>TEXT(A28,"DDD")</f>
        <v/>
      </c>
      <c r="C28" s="26" t="n">
        <v>0.45625</v>
      </c>
      <c r="D28" s="3" t="n">
        <v>128</v>
      </c>
      <c r="E28" s="3" t="n">
        <v>81</v>
      </c>
      <c r="F28" s="3" t="n">
        <v>64</v>
      </c>
      <c r="G28" s="5" t="n">
        <v>195</v>
      </c>
    </row>
    <row r="29">
      <c r="A29" s="27" t="n">
        <v>45349</v>
      </c>
      <c r="B29" s="25">
        <f>TEXT(A29,"DDD")</f>
        <v/>
      </c>
      <c r="C29" s="26" t="n">
        <v>0.4409722222222222</v>
      </c>
      <c r="D29" s="3" t="n">
        <v>132</v>
      </c>
      <c r="E29" s="3" t="n">
        <v>75</v>
      </c>
      <c r="F29" s="3" t="n">
        <v>63</v>
      </c>
      <c r="G29" s="5" t="n">
        <v>157</v>
      </c>
    </row>
    <row r="30">
      <c r="A30" s="27" t="n">
        <v>45350</v>
      </c>
      <c r="B30" s="25">
        <f>TEXT(A30,"DDD")</f>
        <v/>
      </c>
      <c r="C30" s="26" t="n">
        <v>0.4798611111111111</v>
      </c>
      <c r="D30" s="3" t="n">
        <v>136</v>
      </c>
      <c r="E30" s="3" t="n">
        <v>84</v>
      </c>
      <c r="F30" s="3" t="n">
        <v>63</v>
      </c>
      <c r="G30" s="5" t="n">
        <v>200</v>
      </c>
    </row>
    <row r="31">
      <c r="A31" s="27" t="n">
        <v>45351</v>
      </c>
      <c r="B31" s="25">
        <f>TEXT(A31,"DDD")</f>
        <v/>
      </c>
      <c r="C31" s="26" t="n">
        <v>0.45625</v>
      </c>
      <c r="D31" s="3" t="n">
        <v>116</v>
      </c>
      <c r="E31" s="3" t="n">
        <v>74</v>
      </c>
      <c r="F31" s="3" t="n">
        <v>68</v>
      </c>
      <c r="G31" s="5" t="n">
        <v>176</v>
      </c>
    </row>
    <row r="32">
      <c r="A32" s="27" t="n"/>
      <c r="B32" s="25" t="n"/>
      <c r="C32" s="26" t="n"/>
      <c r="D32" s="3" t="n"/>
      <c r="E32" s="3" t="n"/>
      <c r="F32" s="3" t="n"/>
    </row>
    <row r="33">
      <c r="A33" s="27" t="inlineStr">
        <is>
          <t>Median</t>
        </is>
      </c>
      <c r="B33" s="25" t="n"/>
      <c r="C33" s="26">
        <f t="array" ref="C33">MEDIAN(IF(C3:C31&lt;&gt;0,C3:C31))</f>
        <v/>
      </c>
      <c r="D33" s="3">
        <f t="array" ref="D33">ROUND(MEDIAN(IF(D3:D31&lt;&gt;0,D3:D31)),0)</f>
        <v/>
      </c>
      <c r="E33" s="3">
        <f t="array" ref="E33">MEDIAN(IF(E3:E31&lt;&gt;0,E3:E31))</f>
        <v/>
      </c>
      <c r="F33" s="3">
        <f t="array" ref="F33">MEDIAN(IF(F3:F31&lt;&gt;0,F3:F31))</f>
        <v/>
      </c>
      <c r="G33" s="3">
        <f t="array" ref="G33">MEDIAN(IF(G3:G31&lt;&gt;0,G3:G31))</f>
        <v/>
      </c>
    </row>
    <row r="34">
      <c r="A34" s="27" t="n"/>
      <c r="B34" s="25" t="n"/>
      <c r="C34" s="26" t="n"/>
      <c r="D34" s="3" t="inlineStr">
        <is>
          <t>Sys</t>
        </is>
      </c>
      <c r="E34" s="3" t="inlineStr">
        <is>
          <t>Dia</t>
        </is>
      </c>
      <c r="F34" s="3" t="inlineStr">
        <is>
          <t>Pul</t>
        </is>
      </c>
      <c r="G34" s="3" t="inlineStr">
        <is>
          <t>Sugar</t>
        </is>
      </c>
    </row>
    <row r="35">
      <c r="A35" s="28" t="inlineStr">
        <is>
          <t>High value</t>
        </is>
      </c>
      <c r="B35" s="29" t="n"/>
      <c r="C35" s="30">
        <f>MAX(C3:C31)</f>
        <v/>
      </c>
      <c r="D35" s="9">
        <f>_xlfn.AGGREGATE(4,6,D3:D31)</f>
        <v/>
      </c>
      <c r="E35" s="9">
        <f>_xlfn.AGGREGATE(4,6,E3:E31)</f>
        <v/>
      </c>
      <c r="F35" s="9">
        <f>_xlfn.AGGREGATE(4,6,F3:F31)</f>
        <v/>
      </c>
      <c r="G35" s="9">
        <f>_xlfn.AGGREGATE(4,6,G3:G31)</f>
        <v/>
      </c>
    </row>
    <row r="36">
      <c r="A36" s="31" t="inlineStr">
        <is>
          <t>Low Value</t>
        </is>
      </c>
      <c r="B36" s="32" t="n"/>
      <c r="C36" s="33">
        <f>MIN(C4:C32)</f>
        <v/>
      </c>
      <c r="D36" s="13">
        <f>_xlfn.MINIFS(D1:D31,D1:D31,"&lt;&gt;0")</f>
        <v/>
      </c>
      <c r="E36" s="13">
        <f>_xlfn.MINIFS(E1:E31,E1:E31,"&lt;&gt;0")</f>
        <v/>
      </c>
      <c r="F36" s="13">
        <f>_xlfn.MINIFS(F1:F31,F1:F31,"&lt;&gt;0")</f>
        <v/>
      </c>
      <c r="G36" s="13">
        <f>_xlfn.MINIFS(G1:G31,G1:G31,"&lt;&gt;0")</f>
        <v/>
      </c>
    </row>
    <row r="37">
      <c r="A37" s="27" t="n"/>
      <c r="B37" s="25" t="n"/>
      <c r="C37" s="26" t="n"/>
      <c r="D37" s="3" t="n"/>
      <c r="E37" s="3" t="n"/>
      <c r="F37" s="3" t="n"/>
    </row>
    <row r="38">
      <c r="A38" s="27" t="inlineStr">
        <is>
          <t>Standard Deviation</t>
        </is>
      </c>
      <c r="C38" s="26" t="n"/>
      <c r="D38" s="3">
        <f>_xlfn.AGGREGATE(8,6,D1:D31)</f>
        <v/>
      </c>
      <c r="E38" s="3">
        <f>_xlfn.AGGREGATE(8,6,E1:E31)</f>
        <v/>
      </c>
      <c r="F38" s="3">
        <f>_xlfn.AGGREGATE(8,6,F1:F31)</f>
        <v/>
      </c>
      <c r="G38" s="3">
        <f>_xlfn.AGGREGATE(8,6,G1:G31)</f>
        <v/>
      </c>
    </row>
  </sheetData>
  <mergeCells count="2">
    <mergeCell ref="A38:B38"/>
    <mergeCell ref="A1:G1"/>
  </mergeCells>
  <conditionalFormatting sqref="B3:B31">
    <cfRule type="containsText" priority="1" operator="containsText" dxfId="9" text="*s">
      <formula>NOT(ISERROR(SEARCH("*s",B3)))</formula>
    </cfRule>
  </conditionalFormatting>
  <conditionalFormatting sqref="D3:D32">
    <cfRule type="top10" rank="1" priority="8" dxfId="2" bottom="1"/>
    <cfRule type="top10" rank="1" priority="9" dxfId="1"/>
  </conditionalFormatting>
  <conditionalFormatting sqref="E3:E32">
    <cfRule type="top10" rank="1" priority="2" dxfId="2" bottom="1"/>
    <cfRule type="top10" rank="1" priority="3" dxfId="1"/>
  </conditionalFormatting>
  <conditionalFormatting sqref="F3:F32">
    <cfRule type="top10" rank="1" priority="4" dxfId="2" bottom="1"/>
    <cfRule type="top10" rank="1" priority="5" dxfId="1"/>
  </conditionalFormatting>
  <conditionalFormatting sqref="G3:G32">
    <cfRule type="top10" rank="1" priority="6" dxfId="2" bottom="1"/>
    <cfRule type="top10" rank="1" priority="7" dxfId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G13" sqref="AG13"/>
    </sheetView>
  </sheetViews>
  <sheetFormatPr baseColWidth="10" defaultColWidth="8.83203125" defaultRowHeight="16"/>
  <cols>
    <col width="8.5" customWidth="1" style="26" min="3" max="3"/>
  </cols>
  <sheetData>
    <row r="1">
      <c r="A1" s="24" t="n">
        <v>45352</v>
      </c>
    </row>
    <row r="2">
      <c r="A2" s="25" t="inlineStr">
        <is>
          <t>date</t>
        </is>
      </c>
      <c r="B2" s="25" t="inlineStr">
        <is>
          <t>day</t>
        </is>
      </c>
      <c r="C2" s="26" t="inlineStr">
        <is>
          <t>time</t>
        </is>
      </c>
      <c r="D2" s="20" t="inlineStr">
        <is>
          <t>Systolic</t>
        </is>
      </c>
      <c r="E2" s="20" t="inlineStr">
        <is>
          <t>Diastolic</t>
        </is>
      </c>
      <c r="F2" s="20" t="inlineStr">
        <is>
          <t>Pulse</t>
        </is>
      </c>
      <c r="G2" s="20" t="inlineStr">
        <is>
          <t>Sugar</t>
        </is>
      </c>
    </row>
    <row r="3">
      <c r="A3" s="27" t="n">
        <v>45352</v>
      </c>
      <c r="B3" s="25">
        <f>TEXT(A3,"DDD")</f>
        <v/>
      </c>
      <c r="C3" s="26" t="n">
        <v>0.4791666666666667</v>
      </c>
      <c r="D3" s="3" t="n">
        <v>124</v>
      </c>
      <c r="E3" s="3" t="n">
        <v>71</v>
      </c>
      <c r="F3" s="3" t="n">
        <v>63</v>
      </c>
      <c r="G3" s="5" t="n">
        <v>162</v>
      </c>
    </row>
    <row r="4">
      <c r="A4" s="27" t="n">
        <v>45353</v>
      </c>
      <c r="B4" s="25">
        <f>TEXT(A4,"DDD")</f>
        <v/>
      </c>
      <c r="C4" s="26" t="n">
        <v>0.4388888888888889</v>
      </c>
      <c r="D4" s="3" t="n">
        <v>126</v>
      </c>
      <c r="E4" s="3" t="n">
        <v>79</v>
      </c>
      <c r="F4" s="3" t="n">
        <v>65</v>
      </c>
      <c r="G4" s="5" t="n">
        <v>191</v>
      </c>
    </row>
    <row r="5">
      <c r="A5" s="27" t="n">
        <v>45354</v>
      </c>
      <c r="B5" s="25">
        <f>TEXT(A5,"DDD")</f>
        <v/>
      </c>
      <c r="C5" s="26" t="n">
        <v>0.4784722222222222</v>
      </c>
      <c r="D5" s="3" t="n">
        <v>145</v>
      </c>
      <c r="E5" s="3" t="n">
        <v>88</v>
      </c>
      <c r="F5" s="3" t="n">
        <v>60</v>
      </c>
      <c r="G5" s="5" t="n">
        <v>235</v>
      </c>
    </row>
    <row r="6">
      <c r="A6" s="27" t="n">
        <v>45355</v>
      </c>
      <c r="B6" s="25">
        <f>TEXT(A6,"DDD")</f>
        <v/>
      </c>
      <c r="C6" s="26" t="n">
        <v>0.4263888888888889</v>
      </c>
      <c r="D6" s="3" t="n">
        <v>148</v>
      </c>
      <c r="E6" s="3" t="n">
        <v>81</v>
      </c>
      <c r="F6" s="3" t="n">
        <v>60</v>
      </c>
      <c r="G6" s="5" t="n">
        <v>132</v>
      </c>
    </row>
    <row r="7">
      <c r="A7" s="27" t="n">
        <v>45356</v>
      </c>
      <c r="B7" s="25">
        <f>TEXT(A7,"DDD")</f>
        <v/>
      </c>
      <c r="C7" s="26" t="n">
        <v>0.45625</v>
      </c>
      <c r="D7" s="3" t="n">
        <v>148</v>
      </c>
      <c r="E7" s="3" t="n">
        <v>83</v>
      </c>
      <c r="F7" s="3" t="n">
        <v>62</v>
      </c>
      <c r="G7" s="5" t="n">
        <v>183</v>
      </c>
    </row>
    <row r="8">
      <c r="A8" s="27" t="n">
        <v>45357</v>
      </c>
      <c r="B8" s="25">
        <f>TEXT(A8,"DDD")</f>
        <v/>
      </c>
      <c r="C8" s="26" t="n">
        <v>0.4375</v>
      </c>
      <c r="D8" s="3" t="n">
        <v>125</v>
      </c>
      <c r="E8" s="3" t="n">
        <v>75</v>
      </c>
      <c r="F8" s="3" t="n">
        <v>59</v>
      </c>
      <c r="G8" s="5" t="n">
        <v>176</v>
      </c>
    </row>
    <row r="9">
      <c r="A9" s="27" t="n">
        <v>45358</v>
      </c>
      <c r="B9" s="25">
        <f>TEXT(A9,"DDD")</f>
        <v/>
      </c>
      <c r="C9" s="26" t="n">
        <v>0.3715277777777778</v>
      </c>
      <c r="D9" s="3" t="n">
        <v>117</v>
      </c>
      <c r="E9" s="3" t="n">
        <v>79</v>
      </c>
      <c r="F9" s="3" t="n">
        <v>64</v>
      </c>
      <c r="G9" s="5" t="n">
        <v>185</v>
      </c>
    </row>
    <row r="10">
      <c r="A10" s="27" t="n">
        <v>45359</v>
      </c>
      <c r="B10" s="25">
        <f>TEXT(A10,"DDD")</f>
        <v/>
      </c>
      <c r="C10" s="26" t="n">
        <v>0.45625</v>
      </c>
      <c r="D10" s="3" t="n">
        <v>128</v>
      </c>
      <c r="E10" s="3" t="n">
        <v>80</v>
      </c>
      <c r="F10" s="3" t="n">
        <v>67</v>
      </c>
      <c r="G10" s="5" t="n">
        <v>168</v>
      </c>
    </row>
    <row r="11">
      <c r="A11" s="27" t="n">
        <v>45360</v>
      </c>
      <c r="B11" s="25">
        <f>TEXT(A11,"DDD")</f>
        <v/>
      </c>
      <c r="D11" s="3" t="n"/>
      <c r="E11" s="3" t="n"/>
      <c r="F11" s="3" t="n"/>
      <c r="G11" s="5" t="inlineStr">
        <is>
          <t>`</t>
        </is>
      </c>
    </row>
    <row r="12">
      <c r="A12" s="27" t="n">
        <v>45361</v>
      </c>
      <c r="B12" s="25">
        <f>TEXT(A12,"DDD")</f>
        <v/>
      </c>
      <c r="D12" s="3" t="n"/>
      <c r="E12" s="3" t="n"/>
      <c r="F12" s="3" t="n"/>
      <c r="G12" s="5" t="n"/>
    </row>
    <row r="13">
      <c r="A13" s="27" t="n">
        <v>45362</v>
      </c>
      <c r="B13" s="25">
        <f>TEXT(A13,"DDD")</f>
        <v/>
      </c>
      <c r="D13" s="3" t="n"/>
      <c r="E13" s="3" t="n"/>
      <c r="F13" s="3" t="n"/>
      <c r="G13" s="5" t="n"/>
    </row>
    <row r="14">
      <c r="A14" s="27" t="n">
        <v>45363</v>
      </c>
      <c r="B14" s="25">
        <f>TEXT(A14,"DDD")</f>
        <v/>
      </c>
      <c r="D14" s="3" t="n"/>
      <c r="E14" s="3" t="n"/>
      <c r="F14" s="3" t="n"/>
      <c r="G14" s="5" t="n"/>
    </row>
    <row r="15">
      <c r="A15" s="27" t="n">
        <v>45364</v>
      </c>
      <c r="B15" s="25">
        <f>TEXT(A15,"DDD")</f>
        <v/>
      </c>
      <c r="D15" s="3" t="n"/>
      <c r="E15" s="3" t="n"/>
      <c r="F15" s="3" t="n"/>
      <c r="G15" s="5" t="n"/>
    </row>
    <row r="16">
      <c r="A16" s="27" t="n">
        <v>45365</v>
      </c>
      <c r="B16" s="25">
        <f>TEXT(A16,"DDD")</f>
        <v/>
      </c>
      <c r="D16" s="3" t="n"/>
      <c r="E16" s="3" t="n"/>
      <c r="F16" s="3" t="n"/>
      <c r="G16" s="5" t="n"/>
    </row>
    <row r="17">
      <c r="A17" s="27" t="n">
        <v>45366</v>
      </c>
      <c r="B17" s="25">
        <f>TEXT(A17,"DDD")</f>
        <v/>
      </c>
      <c r="D17" s="3" t="n"/>
      <c r="E17" s="3" t="n"/>
      <c r="F17" s="3" t="n"/>
      <c r="G17" s="5" t="n"/>
    </row>
    <row r="18">
      <c r="A18" s="27" t="n">
        <v>45367</v>
      </c>
      <c r="B18" s="25">
        <f>TEXT(A18,"DDD")</f>
        <v/>
      </c>
      <c r="D18" s="3" t="n"/>
      <c r="E18" s="3" t="n"/>
      <c r="F18" s="3" t="n"/>
      <c r="G18" s="5" t="n"/>
    </row>
    <row r="19">
      <c r="A19" s="27" t="n">
        <v>45368</v>
      </c>
      <c r="B19" s="25">
        <f>TEXT(A19,"DDD")</f>
        <v/>
      </c>
      <c r="D19" s="3" t="n"/>
      <c r="E19" s="3" t="n"/>
      <c r="F19" s="3" t="n"/>
      <c r="G19" s="5" t="n"/>
    </row>
    <row r="20">
      <c r="A20" s="27" t="n">
        <v>45369</v>
      </c>
      <c r="B20" s="25">
        <f>TEXT(A20,"DDD")</f>
        <v/>
      </c>
      <c r="D20" s="3" t="n"/>
      <c r="E20" s="3" t="n"/>
      <c r="F20" s="3" t="n"/>
      <c r="G20" s="5" t="n"/>
    </row>
    <row r="21">
      <c r="A21" s="27" t="n">
        <v>45370</v>
      </c>
      <c r="B21" s="25">
        <f>TEXT(A21,"DDD")</f>
        <v/>
      </c>
      <c r="D21" s="3" t="n"/>
      <c r="E21" s="3" t="n"/>
      <c r="F21" s="3" t="n"/>
      <c r="G21" s="5" t="n"/>
    </row>
    <row r="22">
      <c r="A22" s="27" t="n">
        <v>45371</v>
      </c>
      <c r="B22" s="25">
        <f>TEXT(A22,"DDD")</f>
        <v/>
      </c>
      <c r="D22" s="3" t="n"/>
      <c r="E22" s="3" t="n"/>
      <c r="F22" s="3" t="n"/>
      <c r="G22" s="5" t="n"/>
    </row>
    <row r="23">
      <c r="A23" s="27" t="n">
        <v>45372</v>
      </c>
      <c r="B23" s="25">
        <f>TEXT(A23,"DDD")</f>
        <v/>
      </c>
      <c r="D23" s="3" t="n"/>
      <c r="E23" s="3" t="n"/>
      <c r="F23" s="3" t="n"/>
      <c r="G23" s="5" t="n"/>
    </row>
    <row r="24">
      <c r="A24" s="27" t="n">
        <v>45373</v>
      </c>
      <c r="B24" s="25">
        <f>TEXT(A24,"DDD")</f>
        <v/>
      </c>
      <c r="D24" s="3" t="n"/>
      <c r="E24" s="3" t="n"/>
      <c r="F24" s="3" t="n"/>
      <c r="G24" s="5" t="n"/>
    </row>
    <row r="25">
      <c r="A25" s="27" t="n">
        <v>45374</v>
      </c>
      <c r="B25" s="25">
        <f>TEXT(A25,"DDD")</f>
        <v/>
      </c>
      <c r="D25" s="3" t="n"/>
      <c r="E25" s="3" t="n"/>
      <c r="F25" s="3" t="n"/>
      <c r="G25" s="5" t="n"/>
    </row>
    <row r="26">
      <c r="A26" s="27" t="n">
        <v>45375</v>
      </c>
      <c r="B26" s="25">
        <f>TEXT(A26,"DDD")</f>
        <v/>
      </c>
      <c r="D26" s="3" t="n"/>
      <c r="E26" s="3" t="n"/>
      <c r="F26" s="3" t="n"/>
      <c r="G26" s="5" t="n"/>
    </row>
    <row r="27">
      <c r="A27" s="27" t="n">
        <v>45376</v>
      </c>
      <c r="B27" s="25">
        <f>TEXT(A27,"DDD")</f>
        <v/>
      </c>
      <c r="D27" s="3" t="n"/>
      <c r="E27" s="3" t="n"/>
      <c r="F27" s="3" t="n"/>
      <c r="G27" s="5" t="n"/>
    </row>
    <row r="28">
      <c r="A28" s="27" t="n">
        <v>45377</v>
      </c>
      <c r="B28" s="25">
        <f>TEXT(A28,"DDD")</f>
        <v/>
      </c>
      <c r="D28" s="3" t="n"/>
      <c r="E28" s="3" t="n"/>
      <c r="F28" s="3" t="n"/>
      <c r="G28" s="5" t="n"/>
    </row>
    <row r="29">
      <c r="A29" s="27" t="n">
        <v>45378</v>
      </c>
      <c r="B29" s="25">
        <f>TEXT(A29,"DDD")</f>
        <v/>
      </c>
      <c r="D29" s="3" t="n"/>
      <c r="E29" s="3" t="n"/>
      <c r="F29" s="3" t="n"/>
      <c r="G29" s="5" t="n"/>
    </row>
    <row r="30">
      <c r="A30" s="27" t="n">
        <v>45379</v>
      </c>
      <c r="B30" s="25">
        <f>TEXT(A30,"DDD")</f>
        <v/>
      </c>
      <c r="D30" s="3" t="n"/>
      <c r="E30" s="3" t="n"/>
      <c r="F30" s="3" t="n"/>
      <c r="G30" s="5" t="n"/>
    </row>
    <row r="31">
      <c r="A31" s="27" t="n">
        <v>45380</v>
      </c>
      <c r="B31" s="25">
        <f>TEXT(A31,"DDD")</f>
        <v/>
      </c>
      <c r="D31" s="3" t="n"/>
      <c r="E31" s="3" t="n"/>
      <c r="F31" s="3" t="n"/>
      <c r="G31" s="5" t="n"/>
    </row>
    <row r="32">
      <c r="A32" s="27" t="n">
        <v>45321</v>
      </c>
      <c r="B32" s="25">
        <f>TEXT(A32,"DDD")</f>
        <v/>
      </c>
      <c r="D32" s="3" t="n"/>
      <c r="E32" s="3" t="n"/>
      <c r="F32" s="3" t="n"/>
      <c r="G32" s="5" t="n"/>
    </row>
    <row r="33">
      <c r="A33" s="27" t="n">
        <v>45322</v>
      </c>
      <c r="B33" s="25">
        <f>TEXT(A33,"DDD")</f>
        <v/>
      </c>
      <c r="D33" s="3" t="n"/>
      <c r="E33" s="3" t="n"/>
      <c r="F33" s="3" t="n"/>
      <c r="G33" s="5" t="n"/>
    </row>
    <row r="34">
      <c r="A34" s="27" t="n"/>
      <c r="B34" s="25" t="n"/>
      <c r="D34" s="3" t="n"/>
      <c r="E34" s="3" t="n"/>
      <c r="F34" s="3" t="n"/>
      <c r="G34" s="5" t="n"/>
    </row>
    <row r="35">
      <c r="A35" s="27" t="inlineStr">
        <is>
          <t>Median</t>
        </is>
      </c>
      <c r="B35" s="25" t="n"/>
      <c r="C35" s="26">
        <f t="array" ref="C35">IFERROR(MEDIAN(IF(C3:C33&lt;&gt;0,C3:C33)),0)</f>
        <v/>
      </c>
      <c r="D35" s="3">
        <f>IFERROR(_xlfn.AGGREGATE(12,6,D3:D33),0)</f>
        <v/>
      </c>
      <c r="E35" s="3">
        <f>IFERROR(_xlfn.AGGREGATE(12,6,E3:E33),0)</f>
        <v/>
      </c>
      <c r="F35" s="3">
        <f>IFERROR(_xlfn.AGGREGATE(12,6,F3:F33),0)</f>
        <v/>
      </c>
      <c r="G35" s="3">
        <f>IFERROR(_xlfn.AGGREGATE(12,6,G3:G33),0)</f>
        <v/>
      </c>
    </row>
    <row r="36">
      <c r="A36" s="27" t="n"/>
      <c r="B36" s="25" t="n"/>
      <c r="D36" s="3" t="inlineStr">
        <is>
          <t>Sys</t>
        </is>
      </c>
      <c r="E36" s="3" t="inlineStr">
        <is>
          <t>Dia</t>
        </is>
      </c>
      <c r="F36" s="3" t="inlineStr">
        <is>
          <t>Pul</t>
        </is>
      </c>
      <c r="G36" s="3" t="inlineStr">
        <is>
          <t>Sugar</t>
        </is>
      </c>
    </row>
    <row r="37">
      <c r="A37" s="28" t="inlineStr">
        <is>
          <t>High value</t>
        </is>
      </c>
      <c r="B37" s="29" t="n"/>
      <c r="C37" s="30">
        <f>MAX(C3:C33)</f>
        <v/>
      </c>
      <c r="D37" s="9">
        <f>IFERROR(_xlfn.AGGREGATE(4,6,D3:D33),0)</f>
        <v/>
      </c>
      <c r="E37" s="9">
        <f>IFERROR(_xlfn.AGGREGATE(4,6,E3:E33),0)</f>
        <v/>
      </c>
      <c r="F37" s="9">
        <f>IFERROR(_xlfn.AGGREGATE(4,6,F3:F33),0)</f>
        <v/>
      </c>
      <c r="G37" s="9">
        <f>IFERROR(_xlfn.AGGREGATE(4,6,G3:G33),0)</f>
        <v/>
      </c>
    </row>
    <row r="38">
      <c r="A38" s="31" t="inlineStr">
        <is>
          <t>Low Value</t>
        </is>
      </c>
      <c r="B38" s="32" t="n"/>
      <c r="C38" s="33">
        <f>MIN(C3:C33)</f>
        <v/>
      </c>
      <c r="D38" s="13">
        <f>_xlfn.MINIFS(D3:D33,D3:D33,"&lt;&gt;0")</f>
        <v/>
      </c>
      <c r="E38" s="13">
        <f>_xlfn.MINIFS(E3:E33,E3:E33,"&lt;&gt;0")</f>
        <v/>
      </c>
      <c r="F38" s="13">
        <f>_xlfn.MINIFS(F3:F33,F3:F33,"&lt;&gt;0")</f>
        <v/>
      </c>
      <c r="G38" s="13">
        <f>_xlfn.MINIFS(G3:G33,G3:G33,"&lt;&gt;0")</f>
        <v/>
      </c>
    </row>
    <row r="39">
      <c r="A39" s="27" t="n"/>
      <c r="B39" s="25" t="n"/>
      <c r="D39" s="3" t="n"/>
      <c r="E39" s="3" t="n"/>
      <c r="F39" s="3" t="n"/>
      <c r="G39" s="5" t="n"/>
    </row>
    <row r="40">
      <c r="A40" s="27" t="inlineStr">
        <is>
          <t>Standard Deviation</t>
        </is>
      </c>
      <c r="D40" s="3">
        <f>IFERROR(_xlfn.AGGREGATE(8,6,D3:D33),0)</f>
        <v/>
      </c>
      <c r="E40" s="3">
        <f>IFERROR(_xlfn.AGGREGATE(8,6,E3:E33),0)</f>
        <v/>
      </c>
      <c r="F40" s="3">
        <f>IFERROR(_xlfn.AGGREGATE(8,6,F3:F33),0)</f>
        <v/>
      </c>
      <c r="G40" s="3">
        <f>IFERROR(_xlfn.AGGREGATE(8,6,G3:G33),0)</f>
        <v/>
      </c>
    </row>
  </sheetData>
  <mergeCells count="2">
    <mergeCell ref="A1:G1"/>
    <mergeCell ref="A40:B40"/>
  </mergeCells>
  <conditionalFormatting sqref="B3:B33">
    <cfRule type="containsText" priority="1" operator="containsText" dxfId="9" text="*s">
      <formula>NOT(ISERROR(SEARCH("*s",B3)))</formula>
    </cfRule>
  </conditionalFormatting>
  <conditionalFormatting sqref="D3:D34">
    <cfRule type="top10" rank="1" priority="2" dxfId="2" bottom="1"/>
    <cfRule type="top10" rank="1" priority="3" dxfId="1"/>
  </conditionalFormatting>
  <conditionalFormatting sqref="E3:E34">
    <cfRule type="top10" rank="1" priority="4" dxfId="2" bottom="1"/>
    <cfRule type="top10" rank="1" priority="5" dxfId="1"/>
  </conditionalFormatting>
  <conditionalFormatting sqref="F3:F34">
    <cfRule type="top10" rank="1" priority="6" dxfId="2" bottom="1"/>
    <cfRule type="top10" rank="1" priority="7" dxfId="1"/>
  </conditionalFormatting>
  <conditionalFormatting sqref="G3:G34">
    <cfRule type="top10" rank="1" priority="8" dxfId="2" bottom="1"/>
    <cfRule type="top10" rank="1" priority="9" dxfId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tabSelected="1" zoomScale="150" zoomScaleNormal="150" workbookViewId="0">
      <selection activeCell="K28" sqref="K28"/>
    </sheetView>
  </sheetViews>
  <sheetFormatPr baseColWidth="10" defaultColWidth="8.83203125" defaultRowHeight="16"/>
  <cols>
    <col width="17.5" customWidth="1" style="23" min="1" max="1"/>
    <col width="11.83203125" customWidth="1" style="23" min="3" max="3"/>
    <col width="22" customWidth="1" style="23" min="11" max="11"/>
  </cols>
  <sheetData>
    <row r="1">
      <c r="A1" s="34" t="inlineStr">
        <is>
          <t>date</t>
        </is>
      </c>
      <c r="B1" s="34" t="inlineStr">
        <is>
          <t>day</t>
        </is>
      </c>
      <c r="C1" s="35" t="inlineStr">
        <is>
          <t>time</t>
        </is>
      </c>
      <c r="D1" s="19" t="inlineStr">
        <is>
          <t>Systolic</t>
        </is>
      </c>
      <c r="E1" s="19" t="inlineStr">
        <is>
          <t>Diastolic</t>
        </is>
      </c>
      <c r="F1" s="19" t="inlineStr">
        <is>
          <t>Pulse</t>
        </is>
      </c>
      <c r="G1" s="19" t="inlineStr">
        <is>
          <t>Sugar</t>
        </is>
      </c>
      <c r="H1" s="5" t="n"/>
      <c r="I1" s="5" t="n"/>
      <c r="J1" s="5" t="n"/>
      <c r="K1" t="inlineStr">
        <is>
          <t>Date/Day/Time</t>
        </is>
      </c>
    </row>
    <row r="2">
      <c r="A2" s="15">
        <f>'Feb24'!A10</f>
        <v/>
      </c>
      <c r="B2" s="5">
        <f>TEXT(A2,"DDD")</f>
        <v/>
      </c>
      <c r="C2" s="36">
        <f>VLOOKUP($A2,INDIRECT($I2&amp;"!a$3:g$32"),COLUMNS($A$1:C$1),0)</f>
        <v/>
      </c>
      <c r="D2" s="16">
        <f>IFERROR(1/(1/VLOOKUP($A2,INDIRECT($I2&amp;"!a$3:g$32"),COLUMNS($A$1:D$1),0)),NA())</f>
        <v/>
      </c>
      <c r="E2" s="16">
        <f>IFERROR(1/(1/VLOOKUP($A2,INDIRECT($I2&amp;"!a$3:g$32"),COLUMNS($A$1:E$1),0)),NA())</f>
        <v/>
      </c>
      <c r="F2" s="16">
        <f>IFERROR(1/(1/VLOOKUP($A2,INDIRECT($I2&amp;"!a$3:g$32"),COLUMNS($A$1:F$1),0)),NA())</f>
        <v/>
      </c>
      <c r="G2" s="16">
        <f>IFERROR(1/(1/VLOOKUP($A2,INDIRECT($I2&amp;"!a$3:g$32"),COLUMNS($A$1:G$1),0)),NA())</f>
        <v/>
      </c>
      <c r="H2" s="5" t="n"/>
      <c r="I2" s="15">
        <f>TEXT(A2,"mmm")&amp;TEXT(A2,"yy")</f>
        <v/>
      </c>
      <c r="J2" s="5" t="n">
        <v>29</v>
      </c>
      <c r="K2">
        <f>TEXT(A2,"m/d")&amp;" "&amp;TEXT(A2,"DDD")&amp;IF(N(C2)=0," --"," "&amp;TEXT(C2,"h:mm AM/PM"))</f>
        <v/>
      </c>
    </row>
    <row r="3">
      <c r="A3" s="15">
        <f>'Feb24'!A11</f>
        <v/>
      </c>
      <c r="B3" s="5">
        <f>TEXT(A3,"DDD")</f>
        <v/>
      </c>
      <c r="C3" s="36">
        <f>VLOOKUP($A3,INDIRECT($I3&amp;"!a$3:g$32"),COLUMNS($A$1:C$1),0)</f>
        <v/>
      </c>
      <c r="D3" s="16">
        <f>IFERROR(1/(1/VLOOKUP($A3,INDIRECT($I3&amp;"!a$3:g$32"),COLUMNS($A$1:D$1),0)),NA())</f>
        <v/>
      </c>
      <c r="E3" s="16">
        <f>IFERROR(1/(1/VLOOKUP($A3,INDIRECT($I3&amp;"!a$3:g$32"),COLUMNS($A$1:E$1),0)),NA())</f>
        <v/>
      </c>
      <c r="F3" s="16">
        <f>IFERROR(1/(1/VLOOKUP($A3,INDIRECT($I3&amp;"!a$3:g$32"),COLUMNS($A$1:F$1),0)),NA())</f>
        <v/>
      </c>
      <c r="G3" s="16">
        <f>IFERROR(1/(1/VLOOKUP($A3,INDIRECT($I3&amp;"!a$3:g$32"),COLUMNS($A$1:G$1),0)),NA())</f>
        <v/>
      </c>
      <c r="H3" s="5" t="n"/>
      <c r="I3" s="15">
        <f>TEXT(A3,"mmm")&amp;TEXT(A3,"yy")</f>
        <v/>
      </c>
      <c r="J3" s="5" t="n">
        <v>28</v>
      </c>
      <c r="K3">
        <f>TEXT(A3,"m/d")&amp;" "&amp;TEXT(A3,"DDD")&amp;IF(N(C3)=0," --"," "&amp;TEXT(C3,"h:mm AM/PM"))</f>
        <v/>
      </c>
    </row>
    <row r="4">
      <c r="A4" s="15">
        <f>'Feb24'!A12</f>
        <v/>
      </c>
      <c r="B4" s="5">
        <f>TEXT(A4,"DDD")</f>
        <v/>
      </c>
      <c r="C4" s="36">
        <f>VLOOKUP($A4,INDIRECT($I4&amp;"!a$3:g$32"),COLUMNS($A$1:C$1),0)</f>
        <v/>
      </c>
      <c r="D4" s="16">
        <f>IFERROR(1/(1/VLOOKUP($A4,INDIRECT($I4&amp;"!a$3:g$32"),COLUMNS($A$1:D$1),0)),NA())</f>
        <v/>
      </c>
      <c r="E4" s="16">
        <f>IFERROR(1/(1/VLOOKUP($A4,INDIRECT($I4&amp;"!a$3:g$32"),COLUMNS($A$1:E$1),0)),NA())</f>
        <v/>
      </c>
      <c r="F4" s="16">
        <f>IFERROR(1/(1/VLOOKUP($A4,INDIRECT($I4&amp;"!a$3:g$32"),COLUMNS($A$1:F$1),0)),NA())</f>
        <v/>
      </c>
      <c r="G4" s="16">
        <f>IFERROR(1/(1/VLOOKUP($A4,INDIRECT($I4&amp;"!a$3:g$32"),COLUMNS($A$1:G$1),0)),NA())</f>
        <v/>
      </c>
      <c r="H4" s="5" t="n"/>
      <c r="I4" s="15">
        <f>TEXT(A4,"mmm")&amp;TEXT(A4,"yy")</f>
        <v/>
      </c>
      <c r="J4" s="5" t="n">
        <v>27</v>
      </c>
      <c r="K4">
        <f>TEXT(A4,"m/d")&amp;" "&amp;TEXT(A4,"DDD")&amp;IF(N(C4)=0," --"," "&amp;TEXT(C4,"h:mm AM/PM"))</f>
        <v/>
      </c>
    </row>
    <row r="5">
      <c r="A5" s="15">
        <f>'Feb24'!A13</f>
        <v/>
      </c>
      <c r="B5" s="5">
        <f>TEXT(A5,"DDD")</f>
        <v/>
      </c>
      <c r="C5" s="36">
        <f>VLOOKUP($A5,INDIRECT($I5&amp;"!a$3:g$32"),COLUMNS($A$1:C$1),0)</f>
        <v/>
      </c>
      <c r="D5" s="16">
        <f>IFERROR(1/(1/VLOOKUP($A5,INDIRECT($I5&amp;"!a$3:g$32"),COLUMNS($A$1:D$1),0)),NA())</f>
        <v/>
      </c>
      <c r="E5" s="16">
        <f>IFERROR(1/(1/VLOOKUP($A5,INDIRECT($I5&amp;"!a$3:g$32"),COLUMNS($A$1:E$1),0)),NA())</f>
        <v/>
      </c>
      <c r="F5" s="16">
        <f>IFERROR(1/(1/VLOOKUP($A5,INDIRECT($I5&amp;"!a$3:g$32"),COLUMNS($A$1:F$1),0)),NA())</f>
        <v/>
      </c>
      <c r="G5" s="16">
        <f>IFERROR(1/(1/VLOOKUP($A5,INDIRECT($I5&amp;"!a$3:g$32"),COLUMNS($A$1:G$1),0)),NA())</f>
        <v/>
      </c>
      <c r="H5" s="5" t="n"/>
      <c r="I5" s="15">
        <f>TEXT(A5,"mmm")&amp;TEXT(A5,"yy")</f>
        <v/>
      </c>
      <c r="J5" s="5" t="n">
        <v>26</v>
      </c>
      <c r="K5">
        <f>TEXT(A5,"m/d")&amp;" "&amp;TEXT(A5,"DDD")&amp;IF(N(C5)=0," --"," "&amp;TEXT(C5,"h:mm AM/PM"))</f>
        <v/>
      </c>
    </row>
    <row r="6">
      <c r="A6" s="15">
        <f>'Feb24'!A14</f>
        <v/>
      </c>
      <c r="B6" s="5">
        <f>TEXT(A6,"DDD")</f>
        <v/>
      </c>
      <c r="C6" s="36">
        <f>VLOOKUP($A6,INDIRECT($I6&amp;"!a$3:g$32"),COLUMNS($A$1:C$1),0)</f>
        <v/>
      </c>
      <c r="D6" s="16">
        <f>IFERROR(1/(1/VLOOKUP($A6,INDIRECT($I6&amp;"!a$3:g$32"),COLUMNS($A$1:D$1),0)),NA())</f>
        <v/>
      </c>
      <c r="E6" s="16">
        <f>IFERROR(1/(1/VLOOKUP($A6,INDIRECT($I6&amp;"!a$3:g$32"),COLUMNS($A$1:E$1),0)),NA())</f>
        <v/>
      </c>
      <c r="F6" s="16">
        <f>IFERROR(1/(1/VLOOKUP($A6,INDIRECT($I6&amp;"!a$3:g$32"),COLUMNS($A$1:F$1),0)),NA())</f>
        <v/>
      </c>
      <c r="G6" s="16">
        <f>IFERROR(1/(1/VLOOKUP($A6,INDIRECT($I6&amp;"!a$3:g$32"),COLUMNS($A$1:G$1),0)),NA())</f>
        <v/>
      </c>
      <c r="H6" s="5" t="n"/>
      <c r="I6" s="15">
        <f>TEXT(A6,"mmm")&amp;TEXT(A6,"yy")</f>
        <v/>
      </c>
      <c r="J6" s="5" t="n">
        <v>25</v>
      </c>
      <c r="K6">
        <f>TEXT(A6,"m/d")&amp;" "&amp;TEXT(A6,"DDD")&amp;IF(N(C6)=0," --"," "&amp;TEXT(C6,"h:mm AM/PM"))</f>
        <v/>
      </c>
    </row>
    <row r="7">
      <c r="A7" s="15">
        <f>'Feb24'!A15</f>
        <v/>
      </c>
      <c r="B7" s="5">
        <f>TEXT(A7,"DDD")</f>
        <v/>
      </c>
      <c r="C7" s="36">
        <f>VLOOKUP($A7,INDIRECT($I7&amp;"!a$3:g$32"),COLUMNS($A$1:C$1),0)</f>
        <v/>
      </c>
      <c r="D7" s="16">
        <f>IFERROR(1/(1/VLOOKUP($A7,INDIRECT($I7&amp;"!a$3:g$32"),COLUMNS($A$1:D$1),0)),NA())</f>
        <v/>
      </c>
      <c r="E7" s="16">
        <f>IFERROR(1/(1/VLOOKUP($A7,INDIRECT($I7&amp;"!a$3:g$32"),COLUMNS($A$1:E$1),0)),NA())</f>
        <v/>
      </c>
      <c r="F7" s="16">
        <f>IFERROR(1/(1/VLOOKUP($A7,INDIRECT($I7&amp;"!a$3:g$32"),COLUMNS($A$1:F$1),0)),NA())</f>
        <v/>
      </c>
      <c r="G7" s="16">
        <f>IFERROR(1/(1/VLOOKUP($A7,INDIRECT($I7&amp;"!a$3:g$32"),COLUMNS($A$1:G$1),0)),NA())</f>
        <v/>
      </c>
      <c r="H7" s="5" t="n"/>
      <c r="I7" s="15">
        <f>TEXT(A7,"mmm")&amp;TEXT(A7,"yy")</f>
        <v/>
      </c>
      <c r="J7" s="5" t="n">
        <v>24</v>
      </c>
      <c r="K7">
        <f>TEXT(A7,"m/d")&amp;" "&amp;TEXT(A7,"DDD")&amp;IF(N(C7)=0," --"," "&amp;TEXT(C7,"h:mm AM/PM"))</f>
        <v/>
      </c>
    </row>
    <row r="8">
      <c r="A8" s="15">
        <f>'Feb24'!A16</f>
        <v/>
      </c>
      <c r="B8" s="5">
        <f>TEXT(A8,"DDD")</f>
        <v/>
      </c>
      <c r="C8" s="36">
        <f>VLOOKUP($A8,INDIRECT($I8&amp;"!a$3:g$32"),COLUMNS($A$1:C$1),0)</f>
        <v/>
      </c>
      <c r="D8" s="16">
        <f>IFERROR(1/(1/VLOOKUP($A8,INDIRECT($I8&amp;"!a$3:g$32"),COLUMNS($A$1:D$1),0)),NA())</f>
        <v/>
      </c>
      <c r="E8" s="16">
        <f>IFERROR(1/(1/VLOOKUP($A8,INDIRECT($I8&amp;"!a$3:g$32"),COLUMNS($A$1:E$1),0)),NA())</f>
        <v/>
      </c>
      <c r="F8" s="16">
        <f>IFERROR(1/(1/VLOOKUP($A8,INDIRECT($I8&amp;"!a$3:g$32"),COLUMNS($A$1:F$1),0)),NA())</f>
        <v/>
      </c>
      <c r="G8" s="16">
        <f>IFERROR(1/(1/VLOOKUP($A8,INDIRECT($I8&amp;"!a$3:g$32"),COLUMNS($A$1:G$1),0)),NA())</f>
        <v/>
      </c>
      <c r="H8" s="5" t="n"/>
      <c r="I8" s="15">
        <f>TEXT(A8,"mmm")&amp;TEXT(A8,"yy")</f>
        <v/>
      </c>
      <c r="J8" s="5" t="n">
        <v>23</v>
      </c>
      <c r="K8">
        <f>TEXT(A8,"m/d")&amp;" "&amp;TEXT(A8,"DDD")&amp;IF(N(C8)=0," --"," "&amp;TEXT(C8,"h:mm AM/PM"))</f>
        <v/>
      </c>
    </row>
    <row r="9">
      <c r="A9" s="15">
        <f>'Feb24'!A17</f>
        <v/>
      </c>
      <c r="B9" s="5">
        <f>TEXT(A9,"DDD")</f>
        <v/>
      </c>
      <c r="C9" s="36">
        <f>VLOOKUP($A9,INDIRECT($I9&amp;"!a$3:g$32"),COLUMNS($A$1:C$1),0)</f>
        <v/>
      </c>
      <c r="D9" s="16">
        <f>IFERROR(1/(1/VLOOKUP($A9,INDIRECT($I9&amp;"!a$3:g$32"),COLUMNS($A$1:D$1),0)),NA())</f>
        <v/>
      </c>
      <c r="E9" s="16">
        <f>IFERROR(1/(1/VLOOKUP($A9,INDIRECT($I9&amp;"!a$3:g$32"),COLUMNS($A$1:E$1),0)),NA())</f>
        <v/>
      </c>
      <c r="F9" s="16">
        <f>IFERROR(1/(1/VLOOKUP($A9,INDIRECT($I9&amp;"!a$3:g$32"),COLUMNS($A$1:F$1),0)),NA())</f>
        <v/>
      </c>
      <c r="G9" s="16">
        <f>IFERROR(1/(1/VLOOKUP($A9,INDIRECT($I9&amp;"!a$3:g$32"),COLUMNS($A$1:G$1),0)),NA())</f>
        <v/>
      </c>
      <c r="H9" s="5" t="n"/>
      <c r="I9" s="15">
        <f>TEXT(A9,"mmm")&amp;TEXT(A9,"yy")</f>
        <v/>
      </c>
      <c r="J9" s="5" t="n">
        <v>22</v>
      </c>
      <c r="K9">
        <f>TEXT(A9,"m/d")&amp;" "&amp;TEXT(A9,"DDD")&amp;IF(N(C9)=0," --"," "&amp;TEXT(C9,"h:mm AM/PM"))</f>
        <v/>
      </c>
    </row>
    <row r="10">
      <c r="A10" s="15">
        <f>'Feb24'!A18</f>
        <v/>
      </c>
      <c r="B10" s="5">
        <f>TEXT(A10,"DDD")</f>
        <v/>
      </c>
      <c r="C10" s="36">
        <f>VLOOKUP($A10,INDIRECT($I10&amp;"!a$3:g$32"),COLUMNS($A$1:C$1),0)</f>
        <v/>
      </c>
      <c r="D10" s="16">
        <f>IFERROR(1/(1/VLOOKUP($A10,INDIRECT($I10&amp;"!a$3:g$32"),COLUMNS($A$1:D$1),0)),NA())</f>
        <v/>
      </c>
      <c r="E10" s="16">
        <f>IFERROR(1/(1/VLOOKUP($A10,INDIRECT($I10&amp;"!a$3:g$32"),COLUMNS($A$1:E$1),0)),NA())</f>
        <v/>
      </c>
      <c r="F10" s="16">
        <f>IFERROR(1/(1/VLOOKUP($A10,INDIRECT($I10&amp;"!a$3:g$32"),COLUMNS($A$1:F$1),0)),NA())</f>
        <v/>
      </c>
      <c r="G10" s="16">
        <f>IFERROR(1/(1/VLOOKUP($A10,INDIRECT($I10&amp;"!a$3:g$32"),COLUMNS($A$1:G$1),0)),NA())</f>
        <v/>
      </c>
      <c r="H10" s="5" t="n"/>
      <c r="I10" s="15">
        <f>TEXT(A10,"mmm")&amp;TEXT(A10,"yy")</f>
        <v/>
      </c>
      <c r="J10" s="5" t="n">
        <v>21</v>
      </c>
      <c r="K10">
        <f>TEXT(A10,"m/d")&amp;" "&amp;TEXT(A10,"DDD")&amp;IF(N(C10)=0," --"," "&amp;TEXT(C10,"h:mm AM/PM"))</f>
        <v/>
      </c>
    </row>
    <row r="11">
      <c r="A11" s="15">
        <f>'Feb24'!A19</f>
        <v/>
      </c>
      <c r="B11" s="5">
        <f>TEXT(A11,"DDD")</f>
        <v/>
      </c>
      <c r="C11" s="36">
        <f>VLOOKUP($A11,INDIRECT($I11&amp;"!a$3:g$32"),COLUMNS($A$1:C$1),0)</f>
        <v/>
      </c>
      <c r="D11" s="16">
        <f>IFERROR(1/(1/VLOOKUP($A11,INDIRECT($I11&amp;"!a$3:g$32"),COLUMNS($A$1:D$1),0)),NA())</f>
        <v/>
      </c>
      <c r="E11" s="16">
        <f>IFERROR(1/(1/VLOOKUP($A11,INDIRECT($I11&amp;"!a$3:g$32"),COLUMNS($A$1:E$1),0)),NA())</f>
        <v/>
      </c>
      <c r="F11" s="16">
        <f>IFERROR(1/(1/VLOOKUP($A11,INDIRECT($I11&amp;"!a$3:g$32"),COLUMNS($A$1:F$1),0)),NA())</f>
        <v/>
      </c>
      <c r="G11" s="16">
        <f>IFERROR(1/(1/VLOOKUP($A11,INDIRECT($I11&amp;"!a$3:g$32"),COLUMNS($A$1:G$1),0)),NA())</f>
        <v/>
      </c>
      <c r="H11" s="5" t="n"/>
      <c r="I11" s="15">
        <f>TEXT(A11,"mmm")&amp;TEXT(A11,"yy")</f>
        <v/>
      </c>
      <c r="J11" s="5" t="n">
        <v>20</v>
      </c>
      <c r="K11">
        <f>TEXT(A11,"m/d")&amp;" "&amp;TEXT(A11,"DDD")&amp;IF(N(C11)=0," --"," "&amp;TEXT(C11,"h:mm AM/PM"))</f>
        <v/>
      </c>
    </row>
    <row r="12">
      <c r="A12" s="15">
        <f>'Feb24'!A20</f>
        <v/>
      </c>
      <c r="B12" s="5">
        <f>TEXT(A12,"DDD")</f>
        <v/>
      </c>
      <c r="C12" s="36">
        <f>VLOOKUP($A12,INDIRECT($I12&amp;"!a$3:g$32"),COLUMNS($A$1:C$1),0)</f>
        <v/>
      </c>
      <c r="D12" s="16">
        <f>IFERROR(1/(1/VLOOKUP($A12,INDIRECT($I12&amp;"!a$3:g$32"),COLUMNS($A$1:D$1),0)),NA())</f>
        <v/>
      </c>
      <c r="E12" s="16">
        <f>IFERROR(1/(1/VLOOKUP($A12,INDIRECT($I12&amp;"!a$3:g$32"),COLUMNS($A$1:E$1),0)),NA())</f>
        <v/>
      </c>
      <c r="F12" s="16">
        <f>IFERROR(1/(1/VLOOKUP($A12,INDIRECT($I12&amp;"!a$3:g$32"),COLUMNS($A$1:F$1),0)),NA())</f>
        <v/>
      </c>
      <c r="G12" s="16">
        <f>IFERROR(1/(1/VLOOKUP($A12,INDIRECT($I12&amp;"!a$3:g$32"),COLUMNS($A$1:G$1),0)),NA())</f>
        <v/>
      </c>
      <c r="H12" s="5" t="n"/>
      <c r="I12" s="15">
        <f>TEXT(A12,"mmm")&amp;TEXT(A12,"yy")</f>
        <v/>
      </c>
      <c r="J12" s="5" t="n">
        <v>19</v>
      </c>
      <c r="K12">
        <f>TEXT(A12,"m/d")&amp;" "&amp;TEXT(A12,"DDD")&amp;IF(N(C12)=0," --"," "&amp;TEXT(C12,"h:mm AM/PM"))</f>
        <v/>
      </c>
    </row>
    <row r="13">
      <c r="A13" s="15">
        <f>'Feb24'!A21</f>
        <v/>
      </c>
      <c r="B13" s="5">
        <f>TEXT(A13,"DDD")</f>
        <v/>
      </c>
      <c r="C13" s="36">
        <f>VLOOKUP($A13,INDIRECT($I13&amp;"!a$3:g$32"),COLUMNS($A$1:C$1),0)</f>
        <v/>
      </c>
      <c r="D13" s="16">
        <f>IFERROR(1/(1/VLOOKUP($A13,INDIRECT($I13&amp;"!a$3:g$32"),COLUMNS($A$1:D$1),0)),NA())</f>
        <v/>
      </c>
      <c r="E13" s="16">
        <f>IFERROR(1/(1/VLOOKUP($A13,INDIRECT($I13&amp;"!a$3:g$32"),COLUMNS($A$1:E$1),0)),NA())</f>
        <v/>
      </c>
      <c r="F13" s="16">
        <f>IFERROR(1/(1/VLOOKUP($A13,INDIRECT($I13&amp;"!a$3:g$32"),COLUMNS($A$1:F$1),0)),NA())</f>
        <v/>
      </c>
      <c r="G13" s="16">
        <f>IFERROR(1/(1/VLOOKUP($A13,INDIRECT($I13&amp;"!a$3:g$32"),COLUMNS($A$1:G$1),0)),NA())</f>
        <v/>
      </c>
      <c r="H13" s="5" t="n"/>
      <c r="I13" s="15">
        <f>TEXT(A13,"mmm")&amp;TEXT(A13,"yy")</f>
        <v/>
      </c>
      <c r="J13" s="5" t="n">
        <v>18</v>
      </c>
      <c r="K13">
        <f>TEXT(A13,"m/d")&amp;" "&amp;TEXT(A13,"DDD")&amp;IF(N(C13)=0," --"," "&amp;TEXT(C13,"h:mm AM/PM"))</f>
        <v/>
      </c>
    </row>
    <row r="14">
      <c r="A14" s="15">
        <f>'Feb24'!A22</f>
        <v/>
      </c>
      <c r="B14" s="5">
        <f>TEXT(A14,"DDD")</f>
        <v/>
      </c>
      <c r="C14" s="36">
        <f>VLOOKUP($A14,INDIRECT($I14&amp;"!a$3:g$32"),COLUMNS($A$1:C$1),0)</f>
        <v/>
      </c>
      <c r="D14" s="16">
        <f>IFERROR(1/(1/VLOOKUP($A14,INDIRECT($I14&amp;"!a$3:g$32"),COLUMNS($A$1:D$1),0)),NA())</f>
        <v/>
      </c>
      <c r="E14" s="16">
        <f>IFERROR(1/(1/VLOOKUP($A14,INDIRECT($I14&amp;"!a$3:g$32"),COLUMNS($A$1:E$1),0)),NA())</f>
        <v/>
      </c>
      <c r="F14" s="16">
        <f>IFERROR(1/(1/VLOOKUP($A14,INDIRECT($I14&amp;"!a$3:g$32"),COLUMNS($A$1:F$1),0)),NA())</f>
        <v/>
      </c>
      <c r="G14" s="16">
        <f>IFERROR(1/(1/VLOOKUP($A14,INDIRECT($I14&amp;"!a$3:g$32"),COLUMNS($A$1:G$1),0)),NA())</f>
        <v/>
      </c>
      <c r="H14" s="5" t="n"/>
      <c r="I14" s="15">
        <f>TEXT(A14,"mmm")&amp;TEXT(A14,"yy")</f>
        <v/>
      </c>
      <c r="J14" s="5" t="n">
        <v>17</v>
      </c>
      <c r="K14">
        <f>TEXT(A14,"m/d")&amp;" "&amp;TEXT(A14,"DDD")&amp;IF(N(C14)=0," --"," "&amp;TEXT(C14,"h:mm AM/PM"))</f>
        <v/>
      </c>
    </row>
    <row r="15">
      <c r="A15" s="15">
        <f>'Feb24'!A23</f>
        <v/>
      </c>
      <c r="B15" s="5">
        <f>TEXT(A15,"DDD")</f>
        <v/>
      </c>
      <c r="C15" s="36">
        <f>VLOOKUP($A15,INDIRECT($I15&amp;"!a$3:g$32"),COLUMNS($A$1:C$1),0)</f>
        <v/>
      </c>
      <c r="D15" s="16">
        <f>IFERROR(1/(1/VLOOKUP($A15,INDIRECT($I15&amp;"!a$3:g$32"),COLUMNS($A$1:D$1),0)),NA())</f>
        <v/>
      </c>
      <c r="E15" s="16">
        <f>IFERROR(1/(1/VLOOKUP($A15,INDIRECT($I15&amp;"!a$3:g$32"),COLUMNS($A$1:E$1),0)),NA())</f>
        <v/>
      </c>
      <c r="F15" s="16">
        <f>IFERROR(1/(1/VLOOKUP($A15,INDIRECT($I15&amp;"!a$3:g$32"),COLUMNS($A$1:F$1),0)),NA())</f>
        <v/>
      </c>
      <c r="G15" s="16">
        <f>IFERROR(1/(1/VLOOKUP($A15,INDIRECT($I15&amp;"!a$3:g$32"),COLUMNS($A$1:G$1),0)),NA())</f>
        <v/>
      </c>
      <c r="H15" s="5" t="n"/>
      <c r="I15" s="15">
        <f>TEXT(A15,"mmm")&amp;TEXT(A15,"yy")</f>
        <v/>
      </c>
      <c r="J15" s="5" t="n">
        <v>16</v>
      </c>
      <c r="K15">
        <f>TEXT(A15,"m/d")&amp;" "&amp;TEXT(A15,"DDD")&amp;IF(N(C15)=0," --"," "&amp;TEXT(C15,"h:mm AM/PM"))</f>
        <v/>
      </c>
    </row>
    <row r="16">
      <c r="A16" s="15">
        <f>'Feb24'!A24</f>
        <v/>
      </c>
      <c r="B16" s="5">
        <f>TEXT(A16,"DDD")</f>
        <v/>
      </c>
      <c r="C16" s="36">
        <f>VLOOKUP($A16,INDIRECT($I16&amp;"!a$3:g$32"),COLUMNS($A$1:C$1),0)</f>
        <v/>
      </c>
      <c r="D16" s="16">
        <f>IFERROR(1/(1/VLOOKUP($A16,INDIRECT($I16&amp;"!a$3:g$32"),COLUMNS($A$1:D$1),0)),NA())</f>
        <v/>
      </c>
      <c r="E16" s="16">
        <f>IFERROR(1/(1/VLOOKUP($A16,INDIRECT($I16&amp;"!a$3:g$32"),COLUMNS($A$1:E$1),0)),NA())</f>
        <v/>
      </c>
      <c r="F16" s="16">
        <f>IFERROR(1/(1/VLOOKUP($A16,INDIRECT($I16&amp;"!a$3:g$32"),COLUMNS($A$1:F$1),0)),NA())</f>
        <v/>
      </c>
      <c r="G16" s="16">
        <f>IFERROR(1/(1/VLOOKUP($A16,INDIRECT($I16&amp;"!a$3:g$32"),COLUMNS($A$1:G$1),0)),NA())</f>
        <v/>
      </c>
      <c r="H16" s="5" t="n"/>
      <c r="I16" s="15">
        <f>TEXT(A16,"mmm")&amp;TEXT(A16,"yy")</f>
        <v/>
      </c>
      <c r="J16" s="5" t="n">
        <v>15</v>
      </c>
      <c r="K16">
        <f>TEXT(A16,"m/d")&amp;" "&amp;TEXT(A16,"DDD")&amp;IF(N(C16)=0," --"," "&amp;TEXT(C16,"h:mm AM/PM"))</f>
        <v/>
      </c>
    </row>
    <row r="17">
      <c r="A17" s="15">
        <f>'Feb24'!A25</f>
        <v/>
      </c>
      <c r="B17" s="5">
        <f>TEXT(A17,"DDD")</f>
        <v/>
      </c>
      <c r="C17" s="36">
        <f>VLOOKUP($A17,INDIRECT($I17&amp;"!a$3:g$32"),COLUMNS($A$1:C$1),0)</f>
        <v/>
      </c>
      <c r="D17" s="16">
        <f>IFERROR(1/(1/VLOOKUP($A17,INDIRECT($I17&amp;"!a$3:g$32"),COLUMNS($A$1:D$1),0)),NA())</f>
        <v/>
      </c>
      <c r="E17" s="16">
        <f>IFERROR(1/(1/VLOOKUP($A17,INDIRECT($I17&amp;"!a$3:g$32"),COLUMNS($A$1:E$1),0)),NA())</f>
        <v/>
      </c>
      <c r="F17" s="16">
        <f>IFERROR(1/(1/VLOOKUP($A17,INDIRECT($I17&amp;"!a$3:g$32"),COLUMNS($A$1:F$1),0)),NA())</f>
        <v/>
      </c>
      <c r="G17" s="16">
        <f>IFERROR(1/(1/VLOOKUP($A17,INDIRECT($I17&amp;"!a$3:g$32"),COLUMNS($A$1:G$1),0)),NA())</f>
        <v/>
      </c>
      <c r="H17" s="5" t="n"/>
      <c r="I17" s="15">
        <f>TEXT(A17,"mmm")&amp;TEXT(A17,"yy")</f>
        <v/>
      </c>
      <c r="J17" s="5" t="n">
        <v>14</v>
      </c>
      <c r="K17">
        <f>TEXT(A17,"m/d")&amp;" "&amp;TEXT(A17,"DDD")&amp;IF(N(C17)=0," --"," "&amp;TEXT(C17,"h:mm AM/PM"))</f>
        <v/>
      </c>
    </row>
    <row r="18">
      <c r="A18" s="15">
        <f>'Feb24'!A26</f>
        <v/>
      </c>
      <c r="B18" s="5">
        <f>TEXT(A18,"DDD")</f>
        <v/>
      </c>
      <c r="C18" s="36">
        <f>VLOOKUP($A18,INDIRECT($I18&amp;"!a$3:g$32"),COLUMNS($A$1:C$1),0)</f>
        <v/>
      </c>
      <c r="D18" s="16">
        <f>IFERROR(1/(1/VLOOKUP($A18,INDIRECT($I18&amp;"!a$3:g$32"),COLUMNS($A$1:D$1),0)),NA())</f>
        <v/>
      </c>
      <c r="E18" s="16">
        <f>IFERROR(1/(1/VLOOKUP($A18,INDIRECT($I18&amp;"!a$3:g$32"),COLUMNS($A$1:E$1),0)),NA())</f>
        <v/>
      </c>
      <c r="F18" s="16">
        <f>IFERROR(1/(1/VLOOKUP($A18,INDIRECT($I18&amp;"!a$3:g$32"),COLUMNS($A$1:F$1),0)),NA())</f>
        <v/>
      </c>
      <c r="G18" s="16">
        <f>IFERROR(1/(1/VLOOKUP($A18,INDIRECT($I18&amp;"!a$3:g$32"),COLUMNS($A$1:G$1),0)),NA())</f>
        <v/>
      </c>
      <c r="H18" s="5" t="n"/>
      <c r="I18" s="15">
        <f>TEXT(A18,"mmm")&amp;TEXT(A18,"yy")</f>
        <v/>
      </c>
      <c r="J18" s="5" t="n">
        <v>13</v>
      </c>
      <c r="K18">
        <f>TEXT(A18,"m/d")&amp;" "&amp;TEXT(A18,"DDD")&amp;IF(N(C18)=0," --"," "&amp;TEXT(C18,"h:mm AM/PM"))</f>
        <v/>
      </c>
    </row>
    <row r="19">
      <c r="A19" s="15">
        <f>'Feb24'!A27</f>
        <v/>
      </c>
      <c r="B19" s="5">
        <f>TEXT(A19,"DDD")</f>
        <v/>
      </c>
      <c r="C19" s="36">
        <f>VLOOKUP($A19,INDIRECT($I19&amp;"!a$3:g$32"),COLUMNS($A$1:C$1),0)</f>
        <v/>
      </c>
      <c r="D19" s="16">
        <f>IFERROR(1/(1/VLOOKUP($A19,INDIRECT($I19&amp;"!a$3:g$32"),COLUMNS($A$1:D$1),0)),NA())</f>
        <v/>
      </c>
      <c r="E19" s="16">
        <f>IFERROR(1/(1/VLOOKUP($A19,INDIRECT($I19&amp;"!a$3:g$32"),COLUMNS($A$1:E$1),0)),NA())</f>
        <v/>
      </c>
      <c r="F19" s="16">
        <f>IFERROR(1/(1/VLOOKUP($A19,INDIRECT($I19&amp;"!a$3:g$32"),COLUMNS($A$1:F$1),0)),NA())</f>
        <v/>
      </c>
      <c r="G19" s="16">
        <f>IFERROR(1/(1/VLOOKUP($A19,INDIRECT($I19&amp;"!a$3:g$32"),COLUMNS($A$1:G$1),0)),NA())</f>
        <v/>
      </c>
      <c r="H19" s="5" t="n"/>
      <c r="I19" s="15">
        <f>TEXT(A19,"mmm")&amp;TEXT(A19,"yy")</f>
        <v/>
      </c>
      <c r="J19" s="5" t="n">
        <v>12</v>
      </c>
      <c r="K19">
        <f>TEXT(A19,"m/d")&amp;" "&amp;TEXT(A19,"DDD")&amp;IF(N(C19)=0," --"," "&amp;TEXT(C19,"h:mm AM/PM"))</f>
        <v/>
      </c>
      <c r="O19" t="inlineStr">
        <is>
          <t>  </t>
        </is>
      </c>
    </row>
    <row r="20">
      <c r="A20" s="15">
        <f>'Feb24'!A28</f>
        <v/>
      </c>
      <c r="B20" s="5">
        <f>TEXT(A20,"DDD")</f>
        <v/>
      </c>
      <c r="C20" s="36">
        <f>VLOOKUP($A20,INDIRECT($I20&amp;"!a$3:g$32"),COLUMNS($A$1:C$1),0)</f>
        <v/>
      </c>
      <c r="D20" s="16">
        <f>IFERROR(1/(1/VLOOKUP($A20,INDIRECT($I20&amp;"!a$3:g$32"),COLUMNS($A$1:D$1),0)),NA())</f>
        <v/>
      </c>
      <c r="E20" s="16">
        <f>IFERROR(1/(1/VLOOKUP($A20,INDIRECT($I20&amp;"!a$3:g$32"),COLUMNS($A$1:E$1),0)),NA())</f>
        <v/>
      </c>
      <c r="F20" s="16">
        <f>IFERROR(1/(1/VLOOKUP($A20,INDIRECT($I20&amp;"!a$3:g$32"),COLUMNS($A$1:F$1),0)),NA())</f>
        <v/>
      </c>
      <c r="G20" s="16">
        <f>IFERROR(1/(1/VLOOKUP($A20,INDIRECT($I20&amp;"!a$3:g$32"),COLUMNS($A$1:G$1),0)),NA())</f>
        <v/>
      </c>
      <c r="H20" s="5" t="n"/>
      <c r="I20" s="15">
        <f>TEXT(A20,"mmm")&amp;TEXT(A20,"yy")</f>
        <v/>
      </c>
      <c r="J20" s="5" t="n">
        <v>11</v>
      </c>
      <c r="K20">
        <f>TEXT(A20,"m/d")&amp;" "&amp;TEXT(A20,"DDD")&amp;IF(N(C20)=0," --"," "&amp;TEXT(C20,"h:mm AM/PM"))</f>
        <v/>
      </c>
    </row>
    <row r="21">
      <c r="A21" s="15">
        <f>'Feb24'!A29</f>
        <v/>
      </c>
      <c r="B21" s="5">
        <f>TEXT(A21,"DDD")</f>
        <v/>
      </c>
      <c r="C21" s="36">
        <f>VLOOKUP($A21,INDIRECT($I21&amp;"!a$3:g$32"),COLUMNS($A$1:C$1),0)</f>
        <v/>
      </c>
      <c r="D21" s="16">
        <f>IFERROR(1/(1/VLOOKUP($A21,INDIRECT($I21&amp;"!a$3:g$32"),COLUMNS($A$1:D$1),0)),NA())</f>
        <v/>
      </c>
      <c r="E21" s="16">
        <f>IFERROR(1/(1/VLOOKUP($A21,INDIRECT($I21&amp;"!a$3:g$32"),COLUMNS($A$1:E$1),0)),NA())</f>
        <v/>
      </c>
      <c r="F21" s="16">
        <f>IFERROR(1/(1/VLOOKUP($A21,INDIRECT($I21&amp;"!a$3:g$32"),COLUMNS($A$1:F$1),0)),NA())</f>
        <v/>
      </c>
      <c r="G21" s="16">
        <f>IFERROR(1/(1/VLOOKUP($A21,INDIRECT($I21&amp;"!a$3:g$32"),COLUMNS($A$1:G$1),0)),NA())</f>
        <v/>
      </c>
      <c r="H21" s="5" t="n"/>
      <c r="I21" s="15">
        <f>TEXT(A21,"mmm")&amp;TEXT(A21,"yy")</f>
        <v/>
      </c>
      <c r="J21" s="5" t="n">
        <v>10</v>
      </c>
      <c r="K21">
        <f>TEXT(A21,"m/d")&amp;" "&amp;TEXT(A21,"DDD")&amp;IF(N(C21)=0," --"," "&amp;TEXT(C21,"h:mm AM/PM"))</f>
        <v/>
      </c>
    </row>
    <row r="22">
      <c r="A22" s="15">
        <f>'Feb24'!A30</f>
        <v/>
      </c>
      <c r="B22" s="5">
        <f>TEXT(A22,"DDD")</f>
        <v/>
      </c>
      <c r="C22" s="36">
        <f>VLOOKUP($A22,INDIRECT($I22&amp;"!a$3:g$32"),COLUMNS($A$1:C$1),0)</f>
        <v/>
      </c>
      <c r="D22" s="16">
        <f>IFERROR(1/(1/VLOOKUP($A22,INDIRECT($I22&amp;"!a$3:g$32"),COLUMNS($A$1:D$1),0)),NA())</f>
        <v/>
      </c>
      <c r="E22" s="16">
        <f>IFERROR(1/(1/VLOOKUP($A22,INDIRECT($I22&amp;"!a$3:g$32"),COLUMNS($A$1:E$1),0)),NA())</f>
        <v/>
      </c>
      <c r="F22" s="16">
        <f>IFERROR(1/(1/VLOOKUP($A22,INDIRECT($I22&amp;"!a$3:g$32"),COLUMNS($A$1:F$1),0)),NA())</f>
        <v/>
      </c>
      <c r="G22" s="16">
        <f>IFERROR(1/(1/VLOOKUP($A22,INDIRECT($I22&amp;"!a$3:g$32"),COLUMNS($A$1:G$1),0)),NA())</f>
        <v/>
      </c>
      <c r="H22" s="5" t="n"/>
      <c r="I22" s="15">
        <f>TEXT(A22,"mmm")&amp;TEXT(A22,"yy")</f>
        <v/>
      </c>
      <c r="J22" s="5" t="n">
        <v>9</v>
      </c>
      <c r="K22">
        <f>TEXT(A22,"m/d")&amp;" "&amp;TEXT(A22,"DDD")&amp;IF(N(C22)=0," --"," "&amp;TEXT(C22,"h:mm AM/PM"))</f>
        <v/>
      </c>
    </row>
    <row r="23">
      <c r="A23" s="15">
        <f>'Feb24'!A31</f>
        <v/>
      </c>
      <c r="B23" s="5">
        <f>TEXT(A23,"DDD")</f>
        <v/>
      </c>
      <c r="C23" s="36">
        <f>VLOOKUP($A23,INDIRECT($I23&amp;"!a$3:g$32"),COLUMNS($A$1:C$1),0)</f>
        <v/>
      </c>
      <c r="D23" s="16">
        <f>IFERROR(1/(1/VLOOKUP($A23,INDIRECT($I23&amp;"!a$3:g$32"),COLUMNS($A$1:D$1),0)),NA())</f>
        <v/>
      </c>
      <c r="E23" s="16">
        <f>IFERROR(1/(1/VLOOKUP($A23,INDIRECT($I23&amp;"!a$3:g$32"),COLUMNS($A$1:E$1),0)),NA())</f>
        <v/>
      </c>
      <c r="F23" s="16">
        <f>IFERROR(1/(1/VLOOKUP($A23,INDIRECT($I23&amp;"!a$3:g$32"),COLUMNS($A$1:F$1),0)),NA())</f>
        <v/>
      </c>
      <c r="G23" s="16">
        <f>IFERROR(1/(1/VLOOKUP($A23,INDIRECT($I23&amp;"!a$3:g$32"),COLUMNS($A$1:G$1),0)),NA())</f>
        <v/>
      </c>
      <c r="H23" s="5" t="n"/>
      <c r="I23" s="15">
        <f>TEXT(A23,"mmm")&amp;TEXT(A23,"yy")</f>
        <v/>
      </c>
      <c r="J23" s="5" t="n">
        <v>8</v>
      </c>
      <c r="K23">
        <f>TEXT(A23,"m/d")&amp;" "&amp;TEXT(A23,"DDD")&amp;IF(N(C23)=0," --"," "&amp;TEXT(C23,"h:mm AM/PM"))</f>
        <v/>
      </c>
    </row>
    <row r="24">
      <c r="A24" s="15">
        <f>'Mar24'!A3</f>
        <v/>
      </c>
      <c r="B24" s="5">
        <f>TEXT(A24,"DDD")</f>
        <v/>
      </c>
      <c r="C24" s="36">
        <f>VLOOKUP($A24,INDIRECT($I24&amp;"!a$3:g$32"),COLUMNS($A$1:C$1),0)</f>
        <v/>
      </c>
      <c r="D24" s="16">
        <f>IFERROR(1/(1/VLOOKUP($A24,INDIRECT($I24&amp;"!a$3:g$32"),COLUMNS($A$1:D$1),0)),NA())</f>
        <v/>
      </c>
      <c r="E24" s="16">
        <f>IFERROR(1/(1/VLOOKUP($A24,INDIRECT($I24&amp;"!a$3:g$32"),COLUMNS($A$1:E$1),0)),NA())</f>
        <v/>
      </c>
      <c r="F24" s="16">
        <f>IFERROR(1/(1/VLOOKUP($A24,INDIRECT($I24&amp;"!a$3:g$32"),COLUMNS($A$1:F$1),0)),NA())</f>
        <v/>
      </c>
      <c r="G24" s="16">
        <f>IFERROR(1/(1/VLOOKUP($A24,INDIRECT($I24&amp;"!a$3:g$32"),COLUMNS($A$1:G$1),0)),NA())</f>
        <v/>
      </c>
      <c r="H24" s="5" t="n"/>
      <c r="I24" s="15">
        <f>TEXT(A24,"mmm")&amp;TEXT(A24,"yy")</f>
        <v/>
      </c>
      <c r="J24" s="5" t="n">
        <v>7</v>
      </c>
      <c r="K24">
        <f>TEXT(A24,"m/d")&amp;" "&amp;TEXT(A24,"DDD")&amp;IF(N(C24)=0," --"," "&amp;TEXT(C24,"h:mm AM/PM"))</f>
        <v/>
      </c>
    </row>
    <row r="25">
      <c r="A25" s="15">
        <f>'Mar24'!A4</f>
        <v/>
      </c>
      <c r="B25" s="5">
        <f>TEXT(A25,"DDD")</f>
        <v/>
      </c>
      <c r="C25" s="36">
        <f>VLOOKUP($A25,INDIRECT($I25&amp;"!a$3:g$32"),COLUMNS($A$1:C$1),0)</f>
        <v/>
      </c>
      <c r="D25" s="16">
        <f>IFERROR(1/(1/VLOOKUP($A25,INDIRECT($I25&amp;"!a$3:g$32"),COLUMNS($A$1:D$1),0)),NA())</f>
        <v/>
      </c>
      <c r="E25" s="16">
        <f>IFERROR(1/(1/VLOOKUP($A25,INDIRECT($I25&amp;"!a$3:g$32"),COLUMNS($A$1:E$1),0)),NA())</f>
        <v/>
      </c>
      <c r="F25" s="16">
        <f>IFERROR(1/(1/VLOOKUP($A25,INDIRECT($I25&amp;"!a$3:g$32"),COLUMNS($A$1:F$1),0)),NA())</f>
        <v/>
      </c>
      <c r="G25" s="16">
        <f>IFERROR(1/(1/VLOOKUP($A25,INDIRECT($I25&amp;"!a$3:g$32"),COLUMNS($A$1:G$1),0)),NA())</f>
        <v/>
      </c>
      <c r="H25" s="5" t="n"/>
      <c r="I25" s="15">
        <f>TEXT(A25,"mmm")&amp;TEXT(A25,"yy")</f>
        <v/>
      </c>
      <c r="J25" s="5" t="n">
        <v>6</v>
      </c>
      <c r="K25">
        <f>TEXT(A25,"m/d")&amp;" "&amp;TEXT(A25,"DDD")&amp;IF(N(C25)=0," --"," "&amp;TEXT(C25,"h:mm AM/PM"))</f>
        <v/>
      </c>
      <c r="M25" t="inlineStr">
        <is>
          <t> </t>
        </is>
      </c>
    </row>
    <row r="26">
      <c r="A26" s="15">
        <f>'Mar24'!A5</f>
        <v/>
      </c>
      <c r="B26" s="5">
        <f>TEXT(A26,"DDD")</f>
        <v/>
      </c>
      <c r="C26" s="36">
        <f>VLOOKUP($A26,INDIRECT($I26&amp;"!a$3:g$32"),COLUMNS($A$1:C$1),0)</f>
        <v/>
      </c>
      <c r="D26" s="16">
        <f>IFERROR(1/(1/VLOOKUP($A26,INDIRECT($I26&amp;"!a$3:g$32"),COLUMNS($A$1:D$1),0)),NA())</f>
        <v/>
      </c>
      <c r="E26" s="16">
        <f>IFERROR(1/(1/VLOOKUP($A26,INDIRECT($I26&amp;"!a$3:g$32"),COLUMNS($A$1:E$1),0)),NA())</f>
        <v/>
      </c>
      <c r="F26" s="16">
        <f>IFERROR(1/(1/VLOOKUP($A26,INDIRECT($I26&amp;"!a$3:g$32"),COLUMNS($A$1:F$1),0)),NA())</f>
        <v/>
      </c>
      <c r="G26" s="16">
        <f>IFERROR(1/(1/VLOOKUP($A26,INDIRECT($I26&amp;"!a$3:g$32"),COLUMNS($A$1:G$1),0)),NA())</f>
        <v/>
      </c>
      <c r="H26" s="5" t="n"/>
      <c r="I26" s="15">
        <f>TEXT(A26,"mmm")&amp;TEXT(A26,"yy")</f>
        <v/>
      </c>
      <c r="J26" s="5" t="n">
        <v>5</v>
      </c>
      <c r="K26">
        <f>TEXT(A26,"m/d")&amp;" "&amp;TEXT(A26,"DDD")&amp;IF(N(C26)=0," --"," "&amp;TEXT(C26,"h:mm AM/PM"))</f>
        <v/>
      </c>
    </row>
    <row r="27">
      <c r="A27" s="15">
        <f>'Mar24'!A6</f>
        <v/>
      </c>
      <c r="B27" s="5">
        <f>TEXT(A27,"DDD")</f>
        <v/>
      </c>
      <c r="C27" s="36">
        <f>VLOOKUP($A27,INDIRECT($I27&amp;"!a$3:g$32"),COLUMNS($A$1:C$1),0)</f>
        <v/>
      </c>
      <c r="D27" s="16">
        <f>IFERROR(1/(1/VLOOKUP($A27,INDIRECT($I27&amp;"!a$3:g$32"),COLUMNS($A$1:D$1),0)),NA())</f>
        <v/>
      </c>
      <c r="E27" s="16">
        <f>IFERROR(1/(1/VLOOKUP($A27,INDIRECT($I27&amp;"!a$3:g$32"),COLUMNS($A$1:E$1),0)),NA())</f>
        <v/>
      </c>
      <c r="F27" s="16">
        <f>IFERROR(1/(1/VLOOKUP($A27,INDIRECT($I27&amp;"!a$3:g$32"),COLUMNS($A$1:F$1),0)),NA())</f>
        <v/>
      </c>
      <c r="G27" s="16">
        <f>IFERROR(1/(1/VLOOKUP($A27,INDIRECT($I27&amp;"!a$3:g$32"),COLUMNS($A$1:G$1),0)),NA())</f>
        <v/>
      </c>
      <c r="H27" s="5" t="n"/>
      <c r="I27" s="15">
        <f>TEXT(A27,"mmm")&amp;TEXT(A27,"yy")</f>
        <v/>
      </c>
      <c r="J27" s="5" t="n">
        <v>4</v>
      </c>
      <c r="K27">
        <f>TEXT(A27,"m/d")&amp;" "&amp;TEXT(A27,"DDD")&amp;IF(N(C27)=0," --"," "&amp;TEXT(C27,"h:mm AM/PM"))</f>
        <v/>
      </c>
    </row>
    <row r="28">
      <c r="A28" s="15">
        <f>'Mar24'!A7</f>
        <v/>
      </c>
      <c r="B28" s="5">
        <f>TEXT(A28,"DDD")</f>
        <v/>
      </c>
      <c r="C28" s="36">
        <f>VLOOKUP($A28,INDIRECT($I28&amp;"!a$3:g$32"),COLUMNS($A$1:C$1),0)</f>
        <v/>
      </c>
      <c r="D28" s="16">
        <f>IFERROR(1/(1/VLOOKUP($A28,INDIRECT($I28&amp;"!a$3:g$32"),COLUMNS($A$1:D$1),0)),NA())</f>
        <v/>
      </c>
      <c r="E28" s="16">
        <f>IFERROR(1/(1/VLOOKUP($A28,INDIRECT($I28&amp;"!a$3:g$32"),COLUMNS($A$1:E$1),0)),NA())</f>
        <v/>
      </c>
      <c r="F28" s="16">
        <f>IFERROR(1/(1/VLOOKUP($A28,INDIRECT($I28&amp;"!a$3:g$32"),COLUMNS($A$1:F$1),0)),NA())</f>
        <v/>
      </c>
      <c r="G28" s="16">
        <f>IFERROR(1/(1/VLOOKUP($A28,INDIRECT($I28&amp;"!a$3:g$32"),COLUMNS($A$1:G$1),0)),NA())</f>
        <v/>
      </c>
      <c r="H28" s="5" t="n"/>
      <c r="I28" s="15">
        <f>TEXT(A28,"mmm")&amp;TEXT(A28,"yy")</f>
        <v/>
      </c>
      <c r="J28" s="5" t="n">
        <v>3</v>
      </c>
      <c r="K28">
        <f>TEXT(A28,"m/d")&amp;" "&amp;TEXT(A28,"DDD")&amp;IF(N(C28)=0," --"," "&amp;TEXT(C28,"h:mm AM/PM"))</f>
        <v/>
      </c>
    </row>
    <row r="29">
      <c r="A29" s="15">
        <f>'Mar24'!A8</f>
        <v/>
      </c>
      <c r="B29" s="5">
        <f>TEXT(A29,"DDD")</f>
        <v/>
      </c>
      <c r="C29" s="36">
        <f>VLOOKUP($A29,INDIRECT($I29&amp;"!a$3:g$32"),COLUMNS($A$1:C$1),0)</f>
        <v/>
      </c>
      <c r="D29" s="16">
        <f>IFERROR(1/(1/VLOOKUP($A29,INDIRECT($I29&amp;"!a$3:g$32"),COLUMNS($A$1:D$1),0)),NA())</f>
        <v/>
      </c>
      <c r="E29" s="16">
        <f>IFERROR(1/(1/VLOOKUP($A29,INDIRECT($I29&amp;"!a$3:g$32"),COLUMNS($A$1:E$1),0)),NA())</f>
        <v/>
      </c>
      <c r="F29" s="16">
        <f>IFERROR(1/(1/VLOOKUP($A29,INDIRECT($I29&amp;"!a$3:g$32"),COLUMNS($A$1:F$1),0)),NA())</f>
        <v/>
      </c>
      <c r="G29" s="16">
        <f>IFERROR(1/(1/VLOOKUP($A29,INDIRECT($I29&amp;"!a$3:g$32"),COLUMNS($A$1:G$1),0)),NA())</f>
        <v/>
      </c>
      <c r="H29" s="5" t="n"/>
      <c r="I29" s="15">
        <f>TEXT(A29,"mmm")&amp;TEXT(A29,"yy")</f>
        <v/>
      </c>
      <c r="J29" s="5" t="n">
        <v>2</v>
      </c>
      <c r="K29">
        <f>TEXT(A29,"m/d")&amp;" "&amp;TEXT(A29,"DDD")&amp;IF(N(C29)=0," --"," "&amp;TEXT(C29,"h:mm AM/PM"))</f>
        <v/>
      </c>
    </row>
    <row r="30">
      <c r="A30" s="15">
        <f>'Mar24'!A9</f>
        <v/>
      </c>
      <c r="B30" s="5">
        <f>TEXT(A30,"DDD")</f>
        <v/>
      </c>
      <c r="C30" s="36">
        <f>VLOOKUP($A30,INDIRECT($I30&amp;"!a$3:g$32"),COLUMNS($A$1:C$1),0)</f>
        <v/>
      </c>
      <c r="D30" s="16">
        <f>IFERROR(1/(1/VLOOKUP($A30,INDIRECT($I30&amp;"!a$3:g$32"),COLUMNS($A$1:D$1),0)),NA())</f>
        <v/>
      </c>
      <c r="E30" s="16">
        <f>IFERROR(1/(1/VLOOKUP($A30,INDIRECT($I30&amp;"!a$3:g$32"),COLUMNS($A$1:E$1),0)),NA())</f>
        <v/>
      </c>
      <c r="F30" s="16">
        <f>IFERROR(1/(1/VLOOKUP($A30,INDIRECT($I30&amp;"!a$3:g$32"),COLUMNS($A$1:F$1),0)),NA())</f>
        <v/>
      </c>
      <c r="G30" s="16">
        <f>IFERROR(1/(1/VLOOKUP($A30,INDIRECT($I30&amp;"!a$3:g$32"),COLUMNS($A$1:G$1),0)),NA())</f>
        <v/>
      </c>
      <c r="H30" s="5" t="n"/>
      <c r="I30" s="15">
        <f>TEXT(A30,"mmm")&amp;TEXT(A30,"yy")</f>
        <v/>
      </c>
      <c r="J30" s="5" t="n">
        <v>1</v>
      </c>
      <c r="K30">
        <f>TEXT(A30,"m/d")&amp;" "&amp;TEXT(A30,"DDD")&amp;IF(N(C30)=0," --"," "&amp;TEXT(C30,"h:mm AM/PM"))</f>
        <v/>
      </c>
    </row>
    <row r="31">
      <c r="A31" s="15">
        <f>'Mar24'!A10</f>
        <v/>
      </c>
      <c r="B31" s="5">
        <f>TEXT(A31,"DDD")</f>
        <v/>
      </c>
      <c r="C31" s="36">
        <f>VLOOKUP($A31,INDIRECT($I31&amp;"!a$3:g$32"),COLUMNS($A$1:C$1),0)</f>
        <v/>
      </c>
      <c r="D31" s="16">
        <f>IFERROR(1/(1/VLOOKUP($A31,INDIRECT($I31&amp;"!a$3:g$32"),COLUMNS($A$1:D$1),0)),NA())</f>
        <v/>
      </c>
      <c r="E31" s="16">
        <f>IFERROR(1/(1/VLOOKUP($A31,INDIRECT($I31&amp;"!a$3:g$32"),COLUMNS($A$1:E$1),0)),NA())</f>
        <v/>
      </c>
      <c r="F31" s="16">
        <f>IFERROR(1/(1/VLOOKUP($A31,INDIRECT($I31&amp;"!a$3:g$32"),COLUMNS($A$1:F$1),0)),NA())</f>
        <v/>
      </c>
      <c r="G31" s="16">
        <f>IFERROR(1/(1/VLOOKUP($A31,INDIRECT($I31&amp;"!a$3:g$32"),COLUMNS($A$1:G$1),0)),NA())</f>
        <v/>
      </c>
      <c r="H31" s="5" t="n"/>
      <c r="I31" s="15">
        <f>TEXT(A31,"mmm")&amp;TEXT(A31,"yy")</f>
        <v/>
      </c>
      <c r="J31" s="5">
        <f>NA()</f>
        <v/>
      </c>
      <c r="K31">
        <f>TEXT(A31,"m/d")&amp;" "&amp;TEXT(A31,"DDD")&amp;IF(N(C31)=0," --"," "&amp;TEXT(C31,"h:mm AM/PM"))</f>
        <v/>
      </c>
    </row>
  </sheetData>
  <conditionalFormatting sqref="D2:G31">
    <cfRule type="expression" priority="1" dxfId="0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Richard Frazier</dc:creator>
  <dcterms:created xsi:type="dcterms:W3CDTF">2024-03-08T23:12:13Z</dcterms:created>
  <dcterms:modified xsi:type="dcterms:W3CDTF">2026-08-05T13:09:12Z</dcterms:modified>
  <cp:lastModifiedBy>armin@aptura.ai</cp:lastModifiedBy>
</cp:coreProperties>
</file>