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0" fontId="27" fillId="0" borderId="16" pivotButton="0" quotePrefix="0" xfId="0"/>
    <xf numFmtId="10" fontId="27" fillId="0" borderId="0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8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 /><Relationship Type="http://schemas.openxmlformats.org/officeDocument/2006/relationships/drawing" Target="/xl/drawings/drawing1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 /><Relationship Type="http://schemas.openxmlformats.org/officeDocument/2006/relationships/drawing" Target="/xl/drawings/drawing2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 /><Relationship Type="http://schemas.openxmlformats.org/officeDocument/2006/relationships/drawing" Target="/xl/drawings/drawing3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 /></Relationships>
</file>

<file path=xl/worksheets/sheet1.xml><?xml version="1.0" encoding="utf-8"?>
<worksheet xmlns="http://schemas.openxmlformats.org/spreadsheetml/2006/main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/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/>
      </c>
      <c r="G4" s="205">
        <f>E4/E$8</f>
        <v/>
      </c>
      <c r="H4" s="1" t="n"/>
      <c r="I4" s="1" t="inlineStr">
        <is>
          <t>Purchase TEV</t>
        </is>
      </c>
      <c r="J4" s="1" t="n"/>
      <c r="K4" s="1" t="n"/>
      <c r="L4" s="11">
        <f>V10</f>
        <v/>
      </c>
      <c r="M4" s="204">
        <f>L4/U$11</f>
        <v/>
      </c>
      <c r="N4" s="205">
        <f>L4/L$8</f>
        <v/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/>
      </c>
      <c r="F5" s="208" t="n">
        <v>5.5</v>
      </c>
      <c r="G5" s="205">
        <f>E5/E$8</f>
        <v/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/>
      </c>
      <c r="N5" s="205">
        <f>L5/L$8</f>
        <v/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/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/>
      </c>
      <c r="F6" s="208" t="n">
        <v>2</v>
      </c>
      <c r="G6" s="205">
        <f>E6/E$8</f>
        <v/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/>
      </c>
      <c r="M6" s="204">
        <f>L6/U$11</f>
        <v/>
      </c>
      <c r="N6" s="205">
        <f>L6/L$8</f>
        <v/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/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/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/>
      </c>
      <c r="F7" s="204">
        <f>E7/U$11</f>
        <v/>
      </c>
      <c r="G7" s="205">
        <f>E7/E$8</f>
        <v/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/>
      </c>
      <c r="M7" s="204">
        <f>L7/U$11</f>
        <v/>
      </c>
      <c r="N7" s="205">
        <f>L7/L$8</f>
        <v/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/>
      </c>
      <c r="W7" s="1" t="n"/>
      <c r="X7" s="19" t="inlineStr">
        <is>
          <t>FDSO</t>
        </is>
      </c>
      <c r="Y7" s="19" t="n"/>
      <c r="Z7" s="19" t="n"/>
      <c r="AA7" s="213">
        <f>SUM(AA3:AA6)</f>
        <v/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/>
      </c>
      <c r="F8" s="215">
        <f>E8/U$11</f>
        <v/>
      </c>
      <c r="G8" s="216">
        <f>SUM(G4:G7)</f>
        <v/>
      </c>
      <c r="H8" s="1" t="n"/>
      <c r="I8" s="19" t="inlineStr">
        <is>
          <t>Total Uses</t>
        </is>
      </c>
      <c r="J8" s="19" t="n"/>
      <c r="K8" s="19" t="n"/>
      <c r="L8" s="213">
        <f>SUM(L4:L7)</f>
        <v/>
      </c>
      <c r="M8" s="215">
        <f>L8/U$11</f>
        <v/>
      </c>
      <c r="N8" s="216">
        <f>SUM(N4:N7)</f>
        <v/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/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/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/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/>
      </c>
      <c r="V11" s="204">
        <f>V$10/$U11</f>
        <v/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/>
      </c>
      <c r="E12" s="222">
        <f>D12+1</f>
        <v/>
      </c>
      <c r="F12" s="222">
        <f>E12+1</f>
        <v/>
      </c>
      <c r="G12" s="222">
        <f>F12+1</f>
        <v/>
      </c>
      <c r="H12" s="222">
        <f>G12+1</f>
        <v/>
      </c>
      <c r="I12" s="223">
        <f>H12+1</f>
        <v/>
      </c>
      <c r="J12" s="224">
        <f>I12+1</f>
        <v/>
      </c>
      <c r="K12" s="223">
        <f>J12+1</f>
        <v/>
      </c>
      <c r="L12" s="223">
        <f>K12+1</f>
        <v/>
      </c>
      <c r="M12" s="223">
        <f>L12+1</f>
        <v/>
      </c>
      <c r="N12" s="223">
        <f>M12+1</f>
        <v/>
      </c>
      <c r="O12" s="225">
        <f>N12+1</f>
        <v/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/>
      </c>
      <c r="V12" s="204">
        <f>V$10/$U12</f>
        <v/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/>
      </c>
      <c r="F13" s="207">
        <f>F15*F$22</f>
        <v/>
      </c>
      <c r="G13" s="207">
        <f>G15*G$22</f>
        <v/>
      </c>
      <c r="H13" s="207">
        <f>H15*H$22</f>
        <v/>
      </c>
      <c r="I13" s="207">
        <f>I15*I$22</f>
        <v/>
      </c>
      <c r="J13" s="226">
        <f>(1+J14)*I13</f>
        <v/>
      </c>
      <c r="K13" s="207">
        <f>(1+K14)*J13</f>
        <v/>
      </c>
      <c r="L13" s="207">
        <f>(1+L14)*K13</f>
        <v/>
      </c>
      <c r="M13" s="207">
        <f>(1+M14)*L13</f>
        <v/>
      </c>
      <c r="N13" s="207">
        <f>(1+N14)*M13</f>
        <v/>
      </c>
      <c r="O13" s="227">
        <f>(1+O14)*N13</f>
        <v/>
      </c>
      <c r="P13" s="1" t="n"/>
      <c r="Q13" s="228">
        <f>(N13/I13)^(1/5)-1</f>
        <v/>
      </c>
      <c r="R13" s="1" t="n"/>
      <c r="S13" s="35" t="inlineStr">
        <is>
          <t>NTM EBITDA(x)</t>
        </is>
      </c>
      <c r="T13" s="1" t="n"/>
      <c r="U13" s="207">
        <f>(I35*0.25)+(J35*0.75)</f>
        <v/>
      </c>
      <c r="V13" s="204">
        <f>V$10/$U13</f>
        <v/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/>
      </c>
      <c r="G14" s="229">
        <f>(G13/F13)-1</f>
        <v/>
      </c>
      <c r="H14" s="229">
        <f>(H13/G13)-1</f>
        <v/>
      </c>
      <c r="I14" s="229">
        <f>(I13/H13)-1</f>
        <v/>
      </c>
      <c r="J14" s="230">
        <f>I14+($N14-$I14)/5</f>
        <v/>
      </c>
      <c r="K14" s="229">
        <f>J14+($N14-$I14)/5</f>
        <v/>
      </c>
      <c r="L14" s="229">
        <f>K14+($N14-$I14)/5</f>
        <v/>
      </c>
      <c r="M14" s="229">
        <f>L14+($N14-$I14)/5</f>
        <v/>
      </c>
      <c r="N14" s="231" t="n">
        <v>0.08</v>
      </c>
      <c r="O14" s="232">
        <f>N14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/>
      </c>
      <c r="K15" s="229">
        <f>K13/K$22</f>
        <v/>
      </c>
      <c r="L15" s="229">
        <f>L13/L$22</f>
        <v/>
      </c>
      <c r="M15" s="229">
        <f>M13/M$22</f>
        <v/>
      </c>
      <c r="N15" s="229">
        <f>N13/N$22</f>
        <v/>
      </c>
      <c r="O15" s="233">
        <f>O13/O$22</f>
        <v/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/>
      </c>
      <c r="Y15" s="235">
        <f>X15+1</f>
        <v/>
      </c>
      <c r="Z15" s="235">
        <f>Y15+1</f>
        <v/>
      </c>
      <c r="AA15" s="236">
        <f>Z15+1</f>
        <v/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/>
      </c>
      <c r="F16" s="207">
        <f>F18*F$22</f>
        <v/>
      </c>
      <c r="G16" s="207">
        <f>G18*G$22</f>
        <v/>
      </c>
      <c r="H16" s="207">
        <f>H18*H$22</f>
        <v/>
      </c>
      <c r="I16" s="207">
        <f>I18*I$22</f>
        <v/>
      </c>
      <c r="J16" s="226">
        <f>(1+J17)*I16</f>
        <v/>
      </c>
      <c r="K16" s="207">
        <f>(1+K17)*J16</f>
        <v/>
      </c>
      <c r="L16" s="207">
        <f>(1+L17)*K16</f>
        <v/>
      </c>
      <c r="M16" s="207">
        <f>(1+M17)*L16</f>
        <v/>
      </c>
      <c r="N16" s="207">
        <f>(1+N17)*M16</f>
        <v/>
      </c>
      <c r="O16" s="227">
        <f>(1+O17)*N16</f>
        <v/>
      </c>
      <c r="P16" s="1" t="n"/>
      <c r="Q16" s="228">
        <f>(N16/I16)^(1/5)-1</f>
        <v/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/>
      </c>
      <c r="X16" s="11">
        <f>L35</f>
        <v/>
      </c>
      <c r="Y16" s="11">
        <f>M35</f>
        <v/>
      </c>
      <c r="Z16" s="11">
        <f>N35</f>
        <v/>
      </c>
      <c r="AA16" s="11">
        <f>O35</f>
        <v/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/>
      </c>
      <c r="G17" s="229">
        <f>(G16/F16)-1</f>
        <v/>
      </c>
      <c r="H17" s="229">
        <f>(H16/G16)-1</f>
        <v/>
      </c>
      <c r="I17" s="229">
        <f>(I16/H16)-1</f>
        <v/>
      </c>
      <c r="J17" s="230">
        <f>I17+($N17-$I17)/5</f>
        <v/>
      </c>
      <c r="K17" s="229">
        <f>J17+($N17-$I17)/5</f>
        <v/>
      </c>
      <c r="L17" s="229">
        <f>K17+($N17-$I17)/5</f>
        <v/>
      </c>
      <c r="M17" s="229">
        <f>L17+($N17-$I17)/5</f>
        <v/>
      </c>
      <c r="N17" s="231" t="n">
        <v>0.08</v>
      </c>
      <c r="O17" s="232">
        <f>N17</f>
        <v/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/>
      </c>
      <c r="Y17" s="237">
        <f>X17</f>
        <v/>
      </c>
      <c r="Z17" s="237">
        <f>Y17</f>
        <v/>
      </c>
      <c r="AA17" s="237">
        <f>Z17</f>
        <v/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/>
      </c>
      <c r="K18" s="229">
        <f>K16/K$22</f>
        <v/>
      </c>
      <c r="L18" s="229">
        <f>L16/L$22</f>
        <v/>
      </c>
      <c r="M18" s="229">
        <f>M16/M$22</f>
        <v/>
      </c>
      <c r="N18" s="229">
        <f>N16/N$22</f>
        <v/>
      </c>
      <c r="O18" s="233">
        <f>O16/O$22</f>
        <v/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/>
      </c>
      <c r="X18" s="238">
        <f>X17*X16</f>
        <v/>
      </c>
      <c r="Y18" s="238">
        <f>Y17*Y16</f>
        <v/>
      </c>
      <c r="Z18" s="238">
        <f>Z17*Z16</f>
        <v/>
      </c>
      <c r="AA18" s="238">
        <f>AA17*AA16</f>
        <v/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/>
      </c>
      <c r="F19" s="207">
        <f>F21*F$22</f>
        <v/>
      </c>
      <c r="G19" s="207">
        <f>G21*G$22</f>
        <v/>
      </c>
      <c r="H19" s="207">
        <f>H21*H$22</f>
        <v/>
      </c>
      <c r="I19" s="207">
        <f>I21*I$22</f>
        <v/>
      </c>
      <c r="J19" s="226">
        <f>(1+J20)*I19</f>
        <v/>
      </c>
      <c r="K19" s="207">
        <f>(1+K20)*J19</f>
        <v/>
      </c>
      <c r="L19" s="207">
        <f>(1+L20)*K19</f>
        <v/>
      </c>
      <c r="M19" s="207">
        <f>(1+M20)*L19</f>
        <v/>
      </c>
      <c r="N19" s="207">
        <f>(1+N20)*M19</f>
        <v/>
      </c>
      <c r="O19" s="227">
        <f>(1+O20)*N19</f>
        <v/>
      </c>
      <c r="P19" s="1" t="n"/>
      <c r="Q19" s="228">
        <f>(N19/I19)^(1/5)-1</f>
        <v/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/>
      </c>
      <c r="X19" s="207">
        <f>-K123</f>
        <v/>
      </c>
      <c r="Y19" s="207">
        <f>-L123</f>
        <v/>
      </c>
      <c r="Z19" s="207">
        <f>-M123</f>
        <v/>
      </c>
      <c r="AA19" s="207">
        <f>-N123</f>
        <v/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/>
      </c>
      <c r="G20" s="229">
        <f>(G19/F19)-1</f>
        <v/>
      </c>
      <c r="H20" s="229">
        <f>(H19/G19)-1</f>
        <v/>
      </c>
      <c r="I20" s="229">
        <f>(I19/H19)-1</f>
        <v/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/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/>
      </c>
      <c r="X20" s="238">
        <f>X18+X19</f>
        <v/>
      </c>
      <c r="Y20" s="238">
        <f>Y18+Y19</f>
        <v/>
      </c>
      <c r="Z20" s="238">
        <f>Z18+Z19</f>
        <v/>
      </c>
      <c r="AA20" s="238">
        <f>AA18+AA19</f>
        <v/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/>
      </c>
      <c r="K21" s="229">
        <f>K19/K$22</f>
        <v/>
      </c>
      <c r="L21" s="229">
        <f>L19/L$22</f>
        <v/>
      </c>
      <c r="M21" s="229">
        <f>M19/M$22</f>
        <v/>
      </c>
      <c r="N21" s="229">
        <f>N19/N$22</f>
        <v/>
      </c>
      <c r="O21" s="233">
        <f>O19/O$22</f>
        <v/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/>
      </c>
      <c r="X21" s="207">
        <f>IF(X20&gt;$E7,$E7*$V21,0)</f>
        <v/>
      </c>
      <c r="Y21" s="207">
        <f>IF(Y20&gt;$E7,$E7*$V21,0)</f>
        <v/>
      </c>
      <c r="Z21" s="207">
        <f>IF(Z20&gt;$E7,$E7*$V21,0)</f>
        <v/>
      </c>
      <c r="AA21" s="207">
        <f>IF(AA20&gt;$E7,$E7*$V21,0)</f>
        <v/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/>
      </c>
      <c r="D22" s="58">
        <f>'Financial Overview'!E8</f>
        <v/>
      </c>
      <c r="E22" s="58">
        <f>'Financial Overview'!F8</f>
        <v/>
      </c>
      <c r="F22" s="58">
        <f>'Financial Overview'!G8</f>
        <v/>
      </c>
      <c r="G22" s="58">
        <f>'Financial Overview'!H8</f>
        <v/>
      </c>
      <c r="H22" s="58">
        <f>'Financial Overview'!I8</f>
        <v/>
      </c>
      <c r="I22" s="241">
        <f>I26/(1-I25)</f>
        <v/>
      </c>
      <c r="J22" s="242">
        <f>SUM(J13,J16,J19)</f>
        <v/>
      </c>
      <c r="K22" s="241">
        <f>SUM(K13,K16,K19)</f>
        <v/>
      </c>
      <c r="L22" s="241">
        <f>SUM(L13,L16,L19)</f>
        <v/>
      </c>
      <c r="M22" s="241">
        <f>SUM(M13,M16,M19)</f>
        <v/>
      </c>
      <c r="N22" s="241">
        <f>SUM(N13,N16,N19)</f>
        <v/>
      </c>
      <c r="O22" s="243">
        <f>SUM(O13,O16,O19)</f>
        <v/>
      </c>
      <c r="P22" s="244">
        <f>(H22/C22)^(1/5)-1</f>
        <v/>
      </c>
      <c r="Q22" s="244">
        <f>(N22/I22)^(1/5)-1</f>
        <v/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/>
      </c>
      <c r="X22" s="207">
        <f>IF(X21&gt;0,-($V21/(1+$V21))*SUM(X20:X21),0)</f>
        <v/>
      </c>
      <c r="Y22" s="207">
        <f>IF(Y21&gt;0,-($V21/(1+$V21))*SUM(Y20:Y21),0)</f>
        <v/>
      </c>
      <c r="Z22" s="207">
        <f>IF(Z21&gt;0,-($V21/(1+$V21))*SUM(Z20:Z21),0)</f>
        <v/>
      </c>
      <c r="AA22" s="207">
        <f>IF(AA21&gt;0,-($V21/(1+$V21))*SUM(AA20:AA21),0)</f>
        <v/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/>
      </c>
      <c r="E23" s="245">
        <f>(E22/D22)-1</f>
        <v/>
      </c>
      <c r="F23" s="245">
        <f>(F22/E22)-1</f>
        <v/>
      </c>
      <c r="G23" s="245">
        <f>(G22/F22)-1</f>
        <v/>
      </c>
      <c r="H23" s="245">
        <f>(H22/G22)-1</f>
        <v/>
      </c>
      <c r="I23" s="245">
        <f>(I22/H22)-1</f>
        <v/>
      </c>
      <c r="J23" s="246">
        <f>(J22/I22)-1</f>
        <v/>
      </c>
      <c r="K23" s="245">
        <f>(K22/J22)-1</f>
        <v/>
      </c>
      <c r="L23" s="245">
        <f>(L22/K22)-1</f>
        <v/>
      </c>
      <c r="M23" s="245">
        <f>(M22/L22)-1</f>
        <v/>
      </c>
      <c r="N23" s="245">
        <f>(N22/M22)-1</f>
        <v/>
      </c>
      <c r="O23" s="247">
        <f>(O22/N22)-1</f>
        <v/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/>
      </c>
      <c r="X23" s="238">
        <f>SUM(X20:X22)</f>
        <v/>
      </c>
      <c r="Y23" s="238">
        <f>SUM(Y20:Y22)</f>
        <v/>
      </c>
      <c r="Z23" s="238">
        <f>SUM(Z20:Z22)</f>
        <v/>
      </c>
      <c r="AA23" s="238">
        <f>SUM(AA20:AA22)</f>
        <v/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/>
      </c>
      <c r="D24" s="207">
        <f>D26-D22</f>
        <v/>
      </c>
      <c r="E24" s="203">
        <f>E26-E22</f>
        <v/>
      </c>
      <c r="F24" s="203">
        <f>F26-F22</f>
        <v/>
      </c>
      <c r="G24" s="203">
        <f>G26-G22</f>
        <v/>
      </c>
      <c r="H24" s="203">
        <f>H26-H22</f>
        <v/>
      </c>
      <c r="I24" s="207">
        <f>-I25*I22</f>
        <v/>
      </c>
      <c r="J24" s="226">
        <f>-J25*J22</f>
        <v/>
      </c>
      <c r="K24" s="207">
        <f>-K25*K22</f>
        <v/>
      </c>
      <c r="L24" s="207">
        <f>-L25*L22</f>
        <v/>
      </c>
      <c r="M24" s="207">
        <f>-M25*M22</f>
        <v/>
      </c>
      <c r="N24" s="207">
        <f>-N25*N22</f>
        <v/>
      </c>
      <c r="O24" s="227">
        <f>-O25*O22</f>
        <v/>
      </c>
      <c r="P24" s="228">
        <f>(H24/C24)^(1/5)-1</f>
        <v/>
      </c>
      <c r="Q24" s="228">
        <f>(N24/I24)^(1/5)-1</f>
        <v/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/>
      </c>
      <c r="D25" s="229">
        <f>-(D24/D22)</f>
        <v/>
      </c>
      <c r="E25" s="229">
        <f>-(E24/E22)</f>
        <v/>
      </c>
      <c r="F25" s="229">
        <f>-(F24/F22)</f>
        <v/>
      </c>
      <c r="G25" s="229">
        <f>-(G24/G22)</f>
        <v/>
      </c>
      <c r="H25" s="229">
        <f>-(H24/H22)</f>
        <v/>
      </c>
      <c r="I25" s="231" t="n">
        <v>0.47</v>
      </c>
      <c r="J25" s="230">
        <f>I25+($N25-$I25)/5</f>
        <v/>
      </c>
      <c r="K25" s="229">
        <f>J25+($N25-$I25)/5</f>
        <v/>
      </c>
      <c r="L25" s="229">
        <f>K25+($N25-$I25)/5</f>
        <v/>
      </c>
      <c r="M25" s="229">
        <f>L25+($N25-$I25)/5</f>
        <v/>
      </c>
      <c r="N25" s="231" t="n">
        <v>0.47</v>
      </c>
      <c r="O25" s="232">
        <f>N25</f>
        <v/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/>
      </c>
      <c r="X25" s="248">
        <f>X23/$E7</f>
        <v/>
      </c>
      <c r="Y25" s="248">
        <f>Y23/$E7</f>
        <v/>
      </c>
      <c r="Z25" s="248">
        <f>Z23/$E7</f>
        <v/>
      </c>
      <c r="AA25" s="249">
        <f>AA23/$E7</f>
        <v/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/>
      </c>
      <c r="D26" s="58">
        <f>'Financial Overview'!E12</f>
        <v/>
      </c>
      <c r="E26" s="241">
        <f>'Financial Overview'!F12</f>
        <v/>
      </c>
      <c r="F26" s="241">
        <f>'Financial Overview'!G12</f>
        <v/>
      </c>
      <c r="G26" s="241">
        <f>'Financial Overview'!H12</f>
        <v/>
      </c>
      <c r="H26" s="241">
        <f>'Financial Overview'!I12</f>
        <v/>
      </c>
      <c r="I26" s="241">
        <f>'Financial Overview'!J12</f>
        <v/>
      </c>
      <c r="J26" s="242">
        <f>J22+J24</f>
        <v/>
      </c>
      <c r="K26" s="241">
        <f>K22+K24</f>
        <v/>
      </c>
      <c r="L26" s="241">
        <f>L22+L24</f>
        <v/>
      </c>
      <c r="M26" s="241">
        <f>M22+M24</f>
        <v/>
      </c>
      <c r="N26" s="241">
        <f>N22+N24</f>
        <v/>
      </c>
      <c r="O26" s="243">
        <f>O22+O24</f>
        <v/>
      </c>
      <c r="P26" s="244">
        <f>(H26/C26)^(1/5)-1</f>
        <v/>
      </c>
      <c r="Q26" s="244">
        <f>(N26/I26)^(1/5)-1</f>
        <v/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/>
      </c>
      <c r="X26" s="250">
        <f>XIRR(X27:X32,$S27:$S32)</f>
        <v/>
      </c>
      <c r="Y26" s="250">
        <f>XIRR(Y27:Y32,$S27:$S32)</f>
        <v/>
      </c>
      <c r="Z26" s="250">
        <f>XIRR(Z27:Z32,$S27:$S32)</f>
        <v/>
      </c>
      <c r="AA26" s="251">
        <f>XIRR(AA27:AA32,$S27:$S32)</f>
        <v/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/>
      </c>
      <c r="E27" s="245">
        <f>(E26/D26)-1</f>
        <v/>
      </c>
      <c r="F27" s="245">
        <f>(F26/E26)-1</f>
        <v/>
      </c>
      <c r="G27" s="245">
        <f>(G26/F26)-1</f>
        <v/>
      </c>
      <c r="H27" s="245">
        <f>(H26/G26)-1</f>
        <v/>
      </c>
      <c r="I27" s="245">
        <f>(I26/H26)-1</f>
        <v/>
      </c>
      <c r="J27" s="246">
        <f>(J26/I26)-1</f>
        <v/>
      </c>
      <c r="K27" s="245">
        <f>(K26/J26)-1</f>
        <v/>
      </c>
      <c r="L27" s="245">
        <f>(L26/K26)-1</f>
        <v/>
      </c>
      <c r="M27" s="245">
        <f>(M26/L26)-1</f>
        <v/>
      </c>
      <c r="N27" s="245">
        <f>(N26/M26)-1</f>
        <v/>
      </c>
      <c r="O27" s="247">
        <f>(O26/N26)-1</f>
        <v/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/>
      </c>
      <c r="X27" s="207">
        <f>-$E7</f>
        <v/>
      </c>
      <c r="Y27" s="207">
        <f>-$E7</f>
        <v/>
      </c>
      <c r="Z27" s="207">
        <f>-$E7</f>
        <v/>
      </c>
      <c r="AA27" s="207">
        <f>-$E7</f>
        <v/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/>
      </c>
      <c r="D28" s="229">
        <f>D26/D22</f>
        <v/>
      </c>
      <c r="E28" s="229">
        <f>E26/E22</f>
        <v/>
      </c>
      <c r="F28" s="229">
        <f>F26/F22</f>
        <v/>
      </c>
      <c r="G28" s="229">
        <f>G26/G22</f>
        <v/>
      </c>
      <c r="H28" s="229">
        <f>H26/H22</f>
        <v/>
      </c>
      <c r="I28" s="229">
        <f>I26/I22</f>
        <v/>
      </c>
      <c r="J28" s="230">
        <f>J26/J22</f>
        <v/>
      </c>
      <c r="K28" s="229">
        <f>K26/K22</f>
        <v/>
      </c>
      <c r="L28" s="229">
        <f>L26/L22</f>
        <v/>
      </c>
      <c r="M28" s="229">
        <f>M26/M22</f>
        <v/>
      </c>
      <c r="N28" s="229">
        <f>N26/N22</f>
        <v/>
      </c>
      <c r="O28" s="233">
        <f>O26/O22</f>
        <v/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/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/>
      </c>
      <c r="D29" s="207">
        <f>D31-D26</f>
        <v/>
      </c>
      <c r="E29" s="203">
        <f>E31-E26</f>
        <v/>
      </c>
      <c r="F29" s="203">
        <f>F31-F26</f>
        <v/>
      </c>
      <c r="G29" s="203">
        <f>G31-G26</f>
        <v/>
      </c>
      <c r="H29" s="203">
        <f>H31-H26</f>
        <v/>
      </c>
      <c r="I29" s="207">
        <f>-I30*I$22</f>
        <v/>
      </c>
      <c r="J29" s="226">
        <f>-J30*J22</f>
        <v/>
      </c>
      <c r="K29" s="207">
        <f>-K30*K22</f>
        <v/>
      </c>
      <c r="L29" s="207">
        <f>-L30*L22</f>
        <v/>
      </c>
      <c r="M29" s="207">
        <f>-M30*M22</f>
        <v/>
      </c>
      <c r="N29" s="207">
        <f>-N30*N22</f>
        <v/>
      </c>
      <c r="O29" s="227">
        <f>-O30*O22</f>
        <v/>
      </c>
      <c r="P29" s="228">
        <f>(H29/C29)^(1/5)-1</f>
        <v/>
      </c>
      <c r="Q29" s="228">
        <f>(N29/I29)^(1/5)-1</f>
        <v/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/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/>
      </c>
      <c r="D30" s="229">
        <f>-D29/D22</f>
        <v/>
      </c>
      <c r="E30" s="229">
        <f>-E29/E22</f>
        <v/>
      </c>
      <c r="F30" s="229">
        <f>-F29/F22</f>
        <v/>
      </c>
      <c r="G30" s="229">
        <f>-G29/G22</f>
        <v/>
      </c>
      <c r="H30" s="229">
        <f>-H29/H22</f>
        <v/>
      </c>
      <c r="I30" s="231" t="n">
        <v>0.16</v>
      </c>
      <c r="J30" s="230">
        <f>I30+($N30-$I30)/5</f>
        <v/>
      </c>
      <c r="K30" s="229">
        <f>J30+($N30-$I30)/5</f>
        <v/>
      </c>
      <c r="L30" s="229">
        <f>K30+($N30-$I30)/5</f>
        <v/>
      </c>
      <c r="M30" s="229">
        <f>L30+($N30-$I30)/5</f>
        <v/>
      </c>
      <c r="N30" s="231" t="n">
        <v>0.1425</v>
      </c>
      <c r="O30" s="232">
        <f>N30</f>
        <v/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/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/>
      </c>
      <c r="D31" s="58">
        <f>'Financial Overview'!E16</f>
        <v/>
      </c>
      <c r="E31" s="241">
        <f>'Financial Overview'!F16</f>
        <v/>
      </c>
      <c r="F31" s="241">
        <f>'Financial Overview'!G16</f>
        <v/>
      </c>
      <c r="G31" s="241">
        <f>'Financial Overview'!H16</f>
        <v/>
      </c>
      <c r="H31" s="241">
        <f>'Financial Overview'!I16</f>
        <v/>
      </c>
      <c r="I31" s="241">
        <f>I26+I29</f>
        <v/>
      </c>
      <c r="J31" s="242">
        <f>J26+J29</f>
        <v/>
      </c>
      <c r="K31" s="241">
        <f>K26+K29</f>
        <v/>
      </c>
      <c r="L31" s="241">
        <f>L26+L29</f>
        <v/>
      </c>
      <c r="M31" s="241">
        <f>M26+M29</f>
        <v/>
      </c>
      <c r="N31" s="241">
        <f>N26+N29</f>
        <v/>
      </c>
      <c r="O31" s="243">
        <f>O26+O29</f>
        <v/>
      </c>
      <c r="P31" s="244">
        <f>(H31/C31)^(1/5)-1</f>
        <v/>
      </c>
      <c r="Q31" s="244">
        <f>(N31/I31)^(1/5)-1</f>
        <v/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/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/>
      </c>
      <c r="D32" s="252">
        <f>D31/D$26</f>
        <v/>
      </c>
      <c r="E32" s="252">
        <f>E31/E$26</f>
        <v/>
      </c>
      <c r="F32" s="252">
        <f>F31/F$26</f>
        <v/>
      </c>
      <c r="G32" s="252">
        <f>G31/G$26</f>
        <v/>
      </c>
      <c r="H32" s="252">
        <f>H31/H$26</f>
        <v/>
      </c>
      <c r="I32" s="252">
        <f>I31/I$26</f>
        <v/>
      </c>
      <c r="J32" s="253">
        <f>J31/J$26</f>
        <v/>
      </c>
      <c r="K32" s="252">
        <f>K31/K$26</f>
        <v/>
      </c>
      <c r="L32" s="252">
        <f>L31/L$26</f>
        <v/>
      </c>
      <c r="M32" s="252">
        <f>M31/M$26</f>
        <v/>
      </c>
      <c r="N32" s="252">
        <f>N31/N$26</f>
        <v/>
      </c>
      <c r="O32" s="254">
        <f>O31/O$26</f>
        <v/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/>
      </c>
    </row>
    <row r="33" ht="12.75" customHeight="1" s="201">
      <c r="A33" s="1" t="n"/>
      <c r="B33" s="35" t="inlineStr">
        <is>
          <t>(-) OpEx</t>
        </is>
      </c>
      <c r="C33" s="207">
        <f>C35-C31</f>
        <v/>
      </c>
      <c r="D33" s="207">
        <f>D35-D31</f>
        <v/>
      </c>
      <c r="E33" s="207">
        <f>E35-E31</f>
        <v/>
      </c>
      <c r="F33" s="207">
        <f>F35-F31</f>
        <v/>
      </c>
      <c r="G33" s="207">
        <f>G35-G31</f>
        <v/>
      </c>
      <c r="H33" s="207">
        <f>H35-H31</f>
        <v/>
      </c>
      <c r="I33" s="207">
        <f>-I34*I$26</f>
        <v/>
      </c>
      <c r="J33" s="226">
        <f>-J34*J$26</f>
        <v/>
      </c>
      <c r="K33" s="207">
        <f>-K34*K$26</f>
        <v/>
      </c>
      <c r="L33" s="207">
        <f>-L34*L$26</f>
        <v/>
      </c>
      <c r="M33" s="207">
        <f>-M34*M$26</f>
        <v/>
      </c>
      <c r="N33" s="207">
        <f>-N34*N$26</f>
        <v/>
      </c>
      <c r="O33" s="227">
        <f>-O34*O$26</f>
        <v/>
      </c>
      <c r="P33" s="228">
        <f>(H33/C33)^(1/5)-1</f>
        <v/>
      </c>
      <c r="Q33" s="228">
        <f>(N33/I33)^(1/5)-1</f>
        <v/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/>
      </c>
      <c r="D34" s="229">
        <f>-D33/D$26</f>
        <v/>
      </c>
      <c r="E34" s="229">
        <f>-E33/E$26</f>
        <v/>
      </c>
      <c r="F34" s="229">
        <f>-F33/F$26</f>
        <v/>
      </c>
      <c r="G34" s="229">
        <f>-G33/G$26</f>
        <v/>
      </c>
      <c r="H34" s="229">
        <f>-H33/H$26</f>
        <v/>
      </c>
      <c r="I34" s="231" t="n">
        <v>0.48425</v>
      </c>
      <c r="J34" s="230">
        <f>I34+($N34-$I34)/5</f>
        <v/>
      </c>
      <c r="K34" s="229">
        <f>J34+($N34-$I34)/5</f>
        <v/>
      </c>
      <c r="L34" s="229">
        <f>K34+($N34-$I34)/5</f>
        <v/>
      </c>
      <c r="M34" s="229">
        <f>L34+($N34-$I34)/5</f>
        <v/>
      </c>
      <c r="N34" s="231" t="n">
        <v>0.46</v>
      </c>
      <c r="O34" s="232">
        <f>N34</f>
        <v/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/>
      </c>
      <c r="D35" s="58">
        <f>'Financial Overview'!E19</f>
        <v/>
      </c>
      <c r="E35" s="255">
        <f>'Financial Overview'!F19</f>
        <v/>
      </c>
      <c r="F35" s="255">
        <f>'Financial Overview'!G19</f>
        <v/>
      </c>
      <c r="G35" s="255">
        <f>'Financial Overview'!H19</f>
        <v/>
      </c>
      <c r="H35" s="255">
        <f>'Financial Overview'!I19</f>
        <v/>
      </c>
      <c r="I35" s="241">
        <f>I31+I33</f>
        <v/>
      </c>
      <c r="J35" s="242">
        <f>J31+J33</f>
        <v/>
      </c>
      <c r="K35" s="241">
        <f>K31+K33</f>
        <v/>
      </c>
      <c r="L35" s="241">
        <f>L31+L33</f>
        <v/>
      </c>
      <c r="M35" s="241">
        <f>M31+M33</f>
        <v/>
      </c>
      <c r="N35" s="241">
        <f>N31+N33</f>
        <v/>
      </c>
      <c r="O35" s="243">
        <f>O31+O33</f>
        <v/>
      </c>
      <c r="P35" s="244">
        <f>(H35/C35)^(1/5)-1</f>
        <v/>
      </c>
      <c r="Q35" s="244">
        <f>(N35/I35)^(1/5)-1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/>
      </c>
      <c r="D36" s="252">
        <f>D35/D$26</f>
        <v/>
      </c>
      <c r="E36" s="252">
        <f>E35/E$26</f>
        <v/>
      </c>
      <c r="F36" s="252">
        <f>F35/F$26</f>
        <v/>
      </c>
      <c r="G36" s="252">
        <f>G35/G$26</f>
        <v/>
      </c>
      <c r="H36" s="252">
        <f>H35/H$26</f>
        <v/>
      </c>
      <c r="I36" s="252">
        <f>I35/I$26</f>
        <v/>
      </c>
      <c r="J36" s="253">
        <f>J35/J$26</f>
        <v/>
      </c>
      <c r="K36" s="252">
        <f>K35/K$26</f>
        <v/>
      </c>
      <c r="L36" s="252">
        <f>L35/L$26</f>
        <v/>
      </c>
      <c r="M36" s="252">
        <f>M35/M$26</f>
        <v/>
      </c>
      <c r="N36" s="252">
        <f>N35/N$26</f>
        <v/>
      </c>
      <c r="O36" s="254">
        <f>O35/O$26</f>
        <v/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/>
      </c>
      <c r="E37" s="245">
        <f>(E35/D35)-1</f>
        <v/>
      </c>
      <c r="F37" s="245">
        <f>(F35/E35)-1</f>
        <v/>
      </c>
      <c r="G37" s="245">
        <f>(G35/F35)-1</f>
        <v/>
      </c>
      <c r="H37" s="245">
        <f>(H35/G35)-1</f>
        <v/>
      </c>
      <c r="I37" s="245">
        <f>(I35/H35)-1</f>
        <v/>
      </c>
      <c r="J37" s="246">
        <f>(J35/I35)-1</f>
        <v/>
      </c>
      <c r="K37" s="245">
        <f>(K35/J35)-1</f>
        <v/>
      </c>
      <c r="L37" s="245">
        <f>(L35/K35)-1</f>
        <v/>
      </c>
      <c r="M37" s="245">
        <f>(M35/L35)-1</f>
        <v/>
      </c>
      <c r="N37" s="245">
        <f>(N35/M35)-1</f>
        <v/>
      </c>
      <c r="O37" s="247">
        <f>(O35/N35)-1</f>
        <v/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/>
      </c>
      <c r="J38" s="226">
        <f>-J39*J$26</f>
        <v/>
      </c>
      <c r="K38" s="207">
        <f>-K39*K$26</f>
        <v/>
      </c>
      <c r="L38" s="207">
        <f>-L39*L$26</f>
        <v/>
      </c>
      <c r="M38" s="207">
        <f>-M39*M$26</f>
        <v/>
      </c>
      <c r="N38" s="207">
        <f>-N39*N$26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/>
      </c>
      <c r="D39" s="229">
        <f>-D38/D$26</f>
        <v/>
      </c>
      <c r="E39" s="229">
        <f>-E38/E$26</f>
        <v/>
      </c>
      <c r="F39" s="229">
        <f>-F38/F$26</f>
        <v/>
      </c>
      <c r="G39" s="229">
        <f>-G38/G$26</f>
        <v/>
      </c>
      <c r="H39" s="229">
        <f>-H38/H$26</f>
        <v/>
      </c>
      <c r="I39" s="231" t="n">
        <v>0.045</v>
      </c>
      <c r="J39" s="230">
        <f>I39+($N39-$I39)/5</f>
        <v/>
      </c>
      <c r="K39" s="229">
        <f>J39+($N39-$I39)/5</f>
        <v/>
      </c>
      <c r="L39" s="229">
        <f>K39+($N39-$I39)/5</f>
        <v/>
      </c>
      <c r="M39" s="229">
        <f>L39+($N39-$I39)/5</f>
        <v/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/>
      </c>
      <c r="K40" s="11">
        <f>K78</f>
        <v/>
      </c>
      <c r="L40" s="11">
        <f>L78</f>
        <v/>
      </c>
      <c r="M40" s="11">
        <f>M78</f>
        <v/>
      </c>
      <c r="N40" s="11">
        <f>N78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/>
      </c>
      <c r="D41" s="241">
        <f>D35+D38</f>
        <v/>
      </c>
      <c r="E41" s="241">
        <f>E35+E38</f>
        <v/>
      </c>
      <c r="F41" s="241">
        <f>F35+F38</f>
        <v/>
      </c>
      <c r="G41" s="241">
        <f>G35+G38</f>
        <v/>
      </c>
      <c r="H41" s="241">
        <f>H35+H38</f>
        <v/>
      </c>
      <c r="I41" s="241">
        <f>I35+I38</f>
        <v/>
      </c>
      <c r="J41" s="242">
        <f>J35+J38+J40</f>
        <v/>
      </c>
      <c r="K41" s="241">
        <f>K35+K38+K40</f>
        <v/>
      </c>
      <c r="L41" s="241">
        <f>L35+L38+L40</f>
        <v/>
      </c>
      <c r="M41" s="241">
        <f>M35+M38+M40</f>
        <v/>
      </c>
      <c r="N41" s="241">
        <f>N35+N38+N40</f>
        <v/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/>
      </c>
      <c r="D42" s="252">
        <f>D41/D$26</f>
        <v/>
      </c>
      <c r="E42" s="252">
        <f>E41/E$26</f>
        <v/>
      </c>
      <c r="F42" s="252">
        <f>F41/F$26</f>
        <v/>
      </c>
      <c r="G42" s="252">
        <f>G41/G$26</f>
        <v/>
      </c>
      <c r="H42" s="252">
        <f>H41/H$26</f>
        <v/>
      </c>
      <c r="I42" s="252">
        <f>I41/I$26</f>
        <v/>
      </c>
      <c r="J42" s="253">
        <f>J41/J$26</f>
        <v/>
      </c>
      <c r="K42" s="252">
        <f>K41/K$26</f>
        <v/>
      </c>
      <c r="L42" s="252">
        <f>L41/L$26</f>
        <v/>
      </c>
      <c r="M42" s="252">
        <f>M41/M$26</f>
        <v/>
      </c>
      <c r="N42" s="252">
        <f>N41/N$26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/>
      </c>
      <c r="K43" s="207">
        <f>-K125</f>
        <v/>
      </c>
      <c r="L43" s="207">
        <f>-L125</f>
        <v/>
      </c>
      <c r="M43" s="207">
        <f>-M125</f>
        <v/>
      </c>
      <c r="N43" s="207">
        <f>-N125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/>
      </c>
      <c r="K44" s="241">
        <f>K41+K43</f>
        <v/>
      </c>
      <c r="L44" s="241">
        <f>L41+L43</f>
        <v/>
      </c>
      <c r="M44" s="241">
        <f>M41+M43</f>
        <v/>
      </c>
      <c r="N44" s="241">
        <f>N41+N43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-0.25*J44</f>
        <v/>
      </c>
      <c r="K45" s="207">
        <f>-0.25*K44</f>
        <v/>
      </c>
      <c r="L45" s="207">
        <f>-0.25*L44</f>
        <v/>
      </c>
      <c r="M45" s="207">
        <f>-0.25*M44</f>
        <v/>
      </c>
      <c r="N45" s="207">
        <f>-0.25*N44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/>
      </c>
      <c r="K47" s="241">
        <f>K44+K45</f>
        <v/>
      </c>
      <c r="L47" s="241">
        <f>L44+L45</f>
        <v/>
      </c>
      <c r="M47" s="241">
        <f>M44+M45</f>
        <v/>
      </c>
      <c r="N47" s="241">
        <f>N44+N45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/>
      </c>
      <c r="K48" s="252">
        <f>K47/K$26</f>
        <v/>
      </c>
      <c r="L48" s="252">
        <f>L47/L$26</f>
        <v/>
      </c>
      <c r="M48" s="252">
        <f>M47/M$26</f>
        <v/>
      </c>
      <c r="N48" s="252">
        <f>N47/N$26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/>
      </c>
      <c r="J51" s="226">
        <f>(J52/365)*J$26</f>
        <v/>
      </c>
      <c r="K51" s="207">
        <f>(K52/365)*K$26</f>
        <v/>
      </c>
      <c r="L51" s="207">
        <f>(L52/365)*L$26</f>
        <v/>
      </c>
      <c r="M51" s="207">
        <f>(M52/365)*M$26</f>
        <v/>
      </c>
      <c r="N51" s="207">
        <f>(N52/365)*N$26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/>
      </c>
      <c r="F52" s="257">
        <f>(F51/F$26)*365</f>
        <v/>
      </c>
      <c r="G52" s="257">
        <f>(G51/G$26)*365</f>
        <v/>
      </c>
      <c r="H52" s="257">
        <f>(H51/H$26)*365</f>
        <v/>
      </c>
      <c r="I52" s="258">
        <f>H52</f>
        <v/>
      </c>
      <c r="J52" s="259">
        <f>I52</f>
        <v/>
      </c>
      <c r="K52" s="258">
        <f>J52</f>
        <v/>
      </c>
      <c r="L52" s="258">
        <f>K52</f>
        <v/>
      </c>
      <c r="M52" s="258">
        <f>L52</f>
        <v/>
      </c>
      <c r="N52" s="258">
        <f>M52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/>
      </c>
      <c r="J53" s="226">
        <f>(J54/365)*J$26</f>
        <v/>
      </c>
      <c r="K53" s="207">
        <f>(K54/365)*K$26</f>
        <v/>
      </c>
      <c r="L53" s="207">
        <f>(L54/365)*L$26</f>
        <v/>
      </c>
      <c r="M53" s="207">
        <f>(M54/365)*M$26</f>
        <v/>
      </c>
      <c r="N53" s="207">
        <f>(N54/365)*N$26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/>
      </c>
      <c r="F54" s="257">
        <f>(F53/F$26)*365</f>
        <v/>
      </c>
      <c r="G54" s="257">
        <f>(G53/G$26)*365</f>
        <v/>
      </c>
      <c r="H54" s="257">
        <f>(H53/H$26)*365</f>
        <v/>
      </c>
      <c r="I54" s="258">
        <f>H54</f>
        <v/>
      </c>
      <c r="J54" s="259">
        <f>I54</f>
        <v/>
      </c>
      <c r="K54" s="258">
        <f>J54</f>
        <v/>
      </c>
      <c r="L54" s="258">
        <f>K54</f>
        <v/>
      </c>
      <c r="M54" s="258">
        <f>L54</f>
        <v/>
      </c>
      <c r="N54" s="258">
        <f>M54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/>
      </c>
      <c r="J55" s="226">
        <f>J56*J$26</f>
        <v/>
      </c>
      <c r="K55" s="207">
        <f>K56*K$26</f>
        <v/>
      </c>
      <c r="L55" s="207">
        <f>L56*L$26</f>
        <v/>
      </c>
      <c r="M55" s="207">
        <f>M56*M$26</f>
        <v/>
      </c>
      <c r="N55" s="207">
        <f>N56*N$26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/>
      </c>
      <c r="F56" s="229">
        <f>F55/F$26</f>
        <v/>
      </c>
      <c r="G56" s="229">
        <f>G55/G$26</f>
        <v/>
      </c>
      <c r="H56" s="229">
        <f>H55/H$26</f>
        <v/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/>
      </c>
      <c r="J57" s="226">
        <f>J58*J$26</f>
        <v/>
      </c>
      <c r="K57" s="207">
        <f>K58*K$26</f>
        <v/>
      </c>
      <c r="L57" s="207">
        <f>L58*L$26</f>
        <v/>
      </c>
      <c r="M57" s="207">
        <f>M58*M$26</f>
        <v/>
      </c>
      <c r="N57" s="207">
        <f>N58*N$26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/>
      </c>
      <c r="F58" s="229">
        <f>F57/F$26</f>
        <v/>
      </c>
      <c r="G58" s="229">
        <f>G57/G$26</f>
        <v/>
      </c>
      <c r="H58" s="229">
        <f>H57/H$26</f>
        <v/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/>
      </c>
      <c r="F59" s="213">
        <f>SUM(F51:F53,F55,F57)</f>
        <v/>
      </c>
      <c r="G59" s="213">
        <f>SUM(G51:G53,G55,G57)</f>
        <v/>
      </c>
      <c r="H59" s="213">
        <f>SUM(H51:H53,H55,H57)</f>
        <v/>
      </c>
      <c r="I59" s="213">
        <f>SUM(I51:I53,I55,I57)</f>
        <v/>
      </c>
      <c r="J59" s="260">
        <f>SUM(J51:J53,J55,J57)</f>
        <v/>
      </c>
      <c r="K59" s="213">
        <f>SUM(K51:K53,K55,K57)</f>
        <v/>
      </c>
      <c r="L59" s="213">
        <f>SUM(L51:L53,L55,L57)</f>
        <v/>
      </c>
      <c r="M59" s="213">
        <f>SUM(M51:M53,M55,M57)</f>
        <v/>
      </c>
      <c r="N59" s="213">
        <f>SUM(N51:N53,N55,N57)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/>
      </c>
      <c r="J61" s="226">
        <f>J62*J$26</f>
        <v/>
      </c>
      <c r="K61" s="207">
        <f>K62*K$26</f>
        <v/>
      </c>
      <c r="L61" s="207">
        <f>L62*L$26</f>
        <v/>
      </c>
      <c r="M61" s="207">
        <f>M62*M$26</f>
        <v/>
      </c>
      <c r="N61" s="207">
        <f>N62*N$26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/>
      </c>
      <c r="F62" s="229">
        <f>F61/F$26</f>
        <v/>
      </c>
      <c r="G62" s="229">
        <f>G61/G$26</f>
        <v/>
      </c>
      <c r="H62" s="229">
        <f>H61/H$26</f>
        <v/>
      </c>
      <c r="I62" s="261">
        <f>H62</f>
        <v/>
      </c>
      <c r="J62" s="262">
        <f>I62</f>
        <v/>
      </c>
      <c r="K62" s="261">
        <f>J62</f>
        <v/>
      </c>
      <c r="L62" s="261">
        <f>K62</f>
        <v/>
      </c>
      <c r="M62" s="261">
        <f>L62</f>
        <v/>
      </c>
      <c r="N62" s="261">
        <f>M62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/>
      </c>
      <c r="J63" s="226">
        <f>(J64/365)*-(J$24+J$29)</f>
        <v/>
      </c>
      <c r="K63" s="207">
        <f>(K64/365)*-(K$24+K$29)</f>
        <v/>
      </c>
      <c r="L63" s="207">
        <f>(L64/365)*-(L$24+L$29)</f>
        <v/>
      </c>
      <c r="M63" s="207">
        <f>(M64/365)*-(M$24+M$29)</f>
        <v/>
      </c>
      <c r="N63" s="207">
        <f>(N64/365)*-(N$24+N$29)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/>
      </c>
      <c r="F64" s="257">
        <f>(F63/-(F24+F29))*365</f>
        <v/>
      </c>
      <c r="G64" s="257">
        <f>(G63/-(G24+G29))*365</f>
        <v/>
      </c>
      <c r="H64" s="257">
        <f>(H63/-(H24+H29))*365</f>
        <v/>
      </c>
      <c r="I64" s="258">
        <f>H64</f>
        <v/>
      </c>
      <c r="J64" s="259">
        <f>I64</f>
        <v/>
      </c>
      <c r="K64" s="258">
        <f>J64</f>
        <v/>
      </c>
      <c r="L64" s="258">
        <f>K64</f>
        <v/>
      </c>
      <c r="M64" s="258">
        <f>L64</f>
        <v/>
      </c>
      <c r="N64" s="258">
        <f>M64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/>
      </c>
      <c r="J65" s="226">
        <f>J66*J$26</f>
        <v/>
      </c>
      <c r="K65" s="207">
        <f>K66*K$26</f>
        <v/>
      </c>
      <c r="L65" s="207">
        <f>L66*L$26</f>
        <v/>
      </c>
      <c r="M65" s="207">
        <f>M66*M$26</f>
        <v/>
      </c>
      <c r="N65" s="207">
        <f>N66*N$26</f>
        <v/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/>
      </c>
      <c r="F66" s="229">
        <f>F65/F$26</f>
        <v/>
      </c>
      <c r="G66" s="229">
        <f>G65/G$26</f>
        <v/>
      </c>
      <c r="H66" s="229">
        <f>H65/H$26</f>
        <v/>
      </c>
      <c r="I66" s="261">
        <f>H66</f>
        <v/>
      </c>
      <c r="J66" s="262">
        <f>I66</f>
        <v/>
      </c>
      <c r="K66" s="261">
        <f>J66</f>
        <v/>
      </c>
      <c r="L66" s="261">
        <f>K66</f>
        <v/>
      </c>
      <c r="M66" s="261">
        <f>L66</f>
        <v/>
      </c>
      <c r="N66" s="261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/>
      </c>
      <c r="F67" s="207">
        <f>SUM(F61:F63,F65)</f>
        <v/>
      </c>
      <c r="G67" s="207">
        <f>SUM(G61:G63,G65)</f>
        <v/>
      </c>
      <c r="H67" s="207">
        <f>SUM(H61:H63,H65)</f>
        <v/>
      </c>
      <c r="I67" s="207">
        <f>SUM(I61:I63,I65)</f>
        <v/>
      </c>
      <c r="J67" s="226">
        <f>SUM(J61:J63,J65)</f>
        <v/>
      </c>
      <c r="K67" s="207">
        <f>SUM(K61:K63,K65)</f>
        <v/>
      </c>
      <c r="L67" s="207">
        <f>SUM(L61:L63,L65)</f>
        <v/>
      </c>
      <c r="M67" s="207">
        <f>SUM(M61:M63,M65)</f>
        <v/>
      </c>
      <c r="N67" s="207">
        <f>SUM(N61:N63,N65)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/>
      </c>
      <c r="F68" s="213">
        <f>F59-F67</f>
        <v/>
      </c>
      <c r="G68" s="213">
        <f>G59-G67</f>
        <v/>
      </c>
      <c r="H68" s="213">
        <f>H59-H67</f>
        <v/>
      </c>
      <c r="I68" s="213">
        <f>I59-I67</f>
        <v/>
      </c>
      <c r="J68" s="260">
        <f>J59-J67</f>
        <v/>
      </c>
      <c r="K68" s="213">
        <f>K59-K67</f>
        <v/>
      </c>
      <c r="L68" s="213">
        <f>L59-L67</f>
        <v/>
      </c>
      <c r="M68" s="213">
        <f>M59-M67</f>
        <v/>
      </c>
      <c r="N68" s="213">
        <f>N59-N67</f>
        <v/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/>
      </c>
      <c r="G69" s="263">
        <f>F68-G68</f>
        <v/>
      </c>
      <c r="H69" s="263">
        <f>G68-H68</f>
        <v/>
      </c>
      <c r="I69" s="263">
        <f>H68-I68</f>
        <v/>
      </c>
      <c r="J69" s="264">
        <f>I68-J68</f>
        <v/>
      </c>
      <c r="K69" s="263">
        <f>J68-K68</f>
        <v/>
      </c>
      <c r="L69" s="263">
        <f>K68-L68</f>
        <v/>
      </c>
      <c r="M69" s="263">
        <f>L68-M68</f>
        <v/>
      </c>
      <c r="N69" s="263">
        <f>M68-N68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/>
      </c>
      <c r="J71" s="226">
        <f>J72*J26</f>
        <v/>
      </c>
      <c r="K71" s="207">
        <f>K72*K26</f>
        <v/>
      </c>
      <c r="L71" s="207">
        <f>L72*L26</f>
        <v/>
      </c>
      <c r="M71" s="207">
        <f>M72*M26</f>
        <v/>
      </c>
      <c r="N71" s="207">
        <f>N72*N26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/>
      </c>
      <c r="F72" s="229">
        <f>F71/F$26</f>
        <v/>
      </c>
      <c r="G72" s="229">
        <f>G71/G$26</f>
        <v/>
      </c>
      <c r="H72" s="229">
        <f>H71/H$26</f>
        <v/>
      </c>
      <c r="I72" s="231" t="n">
        <v>0.03</v>
      </c>
      <c r="J72" s="230">
        <f>I72+($N72-$I72)/5</f>
        <v/>
      </c>
      <c r="K72" s="229">
        <f>J72+($N72-$I72)/5</f>
        <v/>
      </c>
      <c r="L72" s="229">
        <f>K72+($N72-$I72)/5</f>
        <v/>
      </c>
      <c r="M72" s="229">
        <f>L72+($N72-$I72)/5</f>
        <v/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/>
      </c>
      <c r="F73" s="207">
        <f>-F38</f>
        <v/>
      </c>
      <c r="G73" s="207">
        <f>-G38</f>
        <v/>
      </c>
      <c r="H73" s="207">
        <f>-H38</f>
        <v/>
      </c>
      <c r="I73" s="207">
        <f>-I38</f>
        <v/>
      </c>
      <c r="J73" s="226">
        <f>-J38</f>
        <v/>
      </c>
      <c r="K73" s="207">
        <f>-K38</f>
        <v/>
      </c>
      <c r="L73" s="207">
        <f>-L38</f>
        <v/>
      </c>
      <c r="M73" s="207">
        <f>-M38</f>
        <v/>
      </c>
      <c r="N73" s="207">
        <f>-N38</f>
        <v/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/>
      </c>
      <c r="F74" s="229">
        <f>F73/F$26</f>
        <v/>
      </c>
      <c r="G74" s="229">
        <f>G73/G$26</f>
        <v/>
      </c>
      <c r="H74" s="229">
        <f>H73/H$26</f>
        <v/>
      </c>
      <c r="I74" s="229">
        <f>I73/I$26</f>
        <v/>
      </c>
      <c r="J74" s="230">
        <f>J73/J$26</f>
        <v/>
      </c>
      <c r="K74" s="229">
        <f>K73/K$26</f>
        <v/>
      </c>
      <c r="L74" s="229">
        <f>L73/L$26</f>
        <v/>
      </c>
      <c r="M74" s="229">
        <f>M73/M$26</f>
        <v/>
      </c>
      <c r="N74" s="229">
        <f>N73/N$26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/>
      </c>
      <c r="K77" s="11">
        <f>J79</f>
        <v/>
      </c>
      <c r="L77" s="11">
        <f>K79</f>
        <v/>
      </c>
      <c r="M77" s="11">
        <f>L79</f>
        <v/>
      </c>
      <c r="N77" s="11">
        <f>M79</f>
        <v/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/>
      </c>
      <c r="K78" s="207">
        <f>-MIN(K77,$I79/$I80)</f>
        <v/>
      </c>
      <c r="L78" s="207">
        <f>-MIN(L77,$I79/$I80)</f>
        <v/>
      </c>
      <c r="M78" s="207">
        <f>-MIN(M77,$I79/$I80)</f>
        <v/>
      </c>
      <c r="N78" s="207">
        <f>-MIN(N77,$I79/$I80)</f>
        <v/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/>
      </c>
      <c r="J79" s="260">
        <f>SUM(J77:J78)</f>
        <v/>
      </c>
      <c r="K79" s="213">
        <f>SUM(K77:K78)</f>
        <v/>
      </c>
      <c r="L79" s="213">
        <f>SUM(L77:L78)</f>
        <v/>
      </c>
      <c r="M79" s="213">
        <f>SUM(M77:M78)</f>
        <v/>
      </c>
      <c r="N79" s="213">
        <f>SUM(N77:N78)</f>
        <v/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/>
      </c>
      <c r="K83" s="11">
        <f>K47</f>
        <v/>
      </c>
      <c r="L83" s="11">
        <f>L47</f>
        <v/>
      </c>
      <c r="M83" s="11">
        <f>M47</f>
        <v/>
      </c>
      <c r="N83" s="11">
        <f>N47</f>
        <v/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/>
      </c>
      <c r="K84" s="207">
        <f>-K38</f>
        <v/>
      </c>
      <c r="L84" s="207">
        <f>-L38</f>
        <v/>
      </c>
      <c r="M84" s="207">
        <f>-M38</f>
        <v/>
      </c>
      <c r="N84" s="207">
        <f>-N38</f>
        <v/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/>
      </c>
      <c r="K85" s="207">
        <f>-K78</f>
        <v/>
      </c>
      <c r="L85" s="207">
        <f>-L78</f>
        <v/>
      </c>
      <c r="M85" s="207">
        <f>-M78</f>
        <v/>
      </c>
      <c r="N85" s="207">
        <f>-N78</f>
        <v/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/>
      </c>
      <c r="K86" s="207">
        <f>-K71</f>
        <v/>
      </c>
      <c r="L86" s="207">
        <f>-L71</f>
        <v/>
      </c>
      <c r="M86" s="207">
        <f>-M71</f>
        <v/>
      </c>
      <c r="N86" s="207">
        <f>-N71</f>
        <v/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/>
      </c>
      <c r="K87" s="11">
        <f>K69</f>
        <v/>
      </c>
      <c r="L87" s="11">
        <f>L69</f>
        <v/>
      </c>
      <c r="M87" s="11">
        <f>M69</f>
        <v/>
      </c>
      <c r="N87" s="11">
        <f>N69</f>
        <v/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/>
      </c>
      <c r="K88" s="241">
        <f>SUM(K83:K87)</f>
        <v/>
      </c>
      <c r="L88" s="241">
        <f>SUM(L83:L87)</f>
        <v/>
      </c>
      <c r="M88" s="241">
        <f>SUM(M83:M87)</f>
        <v/>
      </c>
      <c r="N88" s="241">
        <f>SUM(N83:N87)</f>
        <v/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265" t="n">
        <v>0.0309</v>
      </c>
      <c r="K91" s="266" t="n">
        <v>0.032</v>
      </c>
      <c r="L91" s="266" t="n">
        <v>0.034</v>
      </c>
      <c r="M91" s="266" t="n">
        <v>0.0357</v>
      </c>
      <c r="N91" s="266" t="n">
        <v>0.0375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/>
      </c>
      <c r="K94" s="11">
        <f>J96</f>
        <v/>
      </c>
      <c r="L94" s="11">
        <f>K96</f>
        <v/>
      </c>
      <c r="M94" s="11">
        <f>L96</f>
        <v/>
      </c>
      <c r="N94" s="11">
        <f>M96</f>
        <v/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/>
      </c>
      <c r="K95" s="207">
        <f>IF($I98=1,-MIN(K94,K88),0)</f>
        <v/>
      </c>
      <c r="L95" s="207">
        <f>IF($I98=1,-MIN(L94,L88),0)</f>
        <v/>
      </c>
      <c r="M95" s="207">
        <f>IF($I98=1,-MIN(M94,M88),0)</f>
        <v/>
      </c>
      <c r="N95" s="207">
        <f>IF($I98=1,-MIN(N94,N88),0)</f>
        <v/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7">
        <f>E4</f>
        <v/>
      </c>
      <c r="J96" s="268">
        <f>SUM(J94:J95)</f>
        <v/>
      </c>
      <c r="K96" s="238">
        <f>SUM(K94:K95)</f>
        <v/>
      </c>
      <c r="L96" s="238">
        <f>SUM(L94:L95)</f>
        <v/>
      </c>
      <c r="M96" s="238">
        <f>SUM(M94:M95)</f>
        <v/>
      </c>
      <c r="N96" s="238">
        <f>SUM(N94:N95)</f>
        <v/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9" t="n">
        <v>0.04</v>
      </c>
      <c r="J97" s="226">
        <f>SUM($I97,J$91)*AVERAGE(J94,J96)</f>
        <v/>
      </c>
      <c r="K97" s="207">
        <f>SUM($I97,K$91)*AVERAGE(K94,K96)</f>
        <v/>
      </c>
      <c r="L97" s="207">
        <f>SUM($I97,L$91)*AVERAGE(L94,L96)</f>
        <v/>
      </c>
      <c r="M97" s="207">
        <f>SUM($I97,M$91)*AVERAGE(M94,M96)</f>
        <v/>
      </c>
      <c r="N97" s="207">
        <f>SUM($I97,N$91)*AVERAGE(N94,N96)</f>
        <v/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/>
      </c>
      <c r="K101" s="11">
        <f>J103</f>
        <v/>
      </c>
      <c r="L101" s="11">
        <f>K103</f>
        <v/>
      </c>
      <c r="M101" s="11">
        <f>L103</f>
        <v/>
      </c>
      <c r="N101" s="11">
        <f>M103</f>
        <v/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/>
      </c>
      <c r="K102" s="207">
        <f>IF($I105=1,MIN(MAX(-K101,-(K$88+K$95+(K$115-$L$5))),0),0)</f>
        <v/>
      </c>
      <c r="L102" s="207">
        <f>IF($I105=1,MIN(MAX(-L101,-(L$88+L$95+(L$115-$L$5))),0),0)</f>
        <v/>
      </c>
      <c r="M102" s="207">
        <f>IF($I105=1,MIN(MAX(-M101,-(M$88+M$95+(M$115-$L$5))),0),0)</f>
        <v/>
      </c>
      <c r="N102" s="207">
        <f>IF($I105=1,MIN(MAX(-N101,-(N$88+N$95+(N$115-$L$5))),0),0)</f>
        <v/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7">
        <f>E5</f>
        <v/>
      </c>
      <c r="J103" s="268">
        <f>SUM(J101:J102)</f>
        <v/>
      </c>
      <c r="K103" s="238">
        <f>SUM(K101:K102)</f>
        <v/>
      </c>
      <c r="L103" s="238">
        <f>SUM(L101:L102)</f>
        <v/>
      </c>
      <c r="M103" s="238">
        <f>SUM(M101:M102)</f>
        <v/>
      </c>
      <c r="N103" s="238">
        <f>SUM(N101:N102)</f>
        <v/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9" t="n">
        <v>0.04</v>
      </c>
      <c r="J104" s="226">
        <f>SUM($I104,J$91)*AVERAGE(J101,J103)</f>
        <v/>
      </c>
      <c r="K104" s="207">
        <f>SUM($I104,K$91)*AVERAGE(K101,K103)</f>
        <v/>
      </c>
      <c r="L104" s="207">
        <f>SUM($I104,L$91)*AVERAGE(L101,L103)</f>
        <v/>
      </c>
      <c r="M104" s="207">
        <f>SUM($I104,M$91)*AVERAGE(M101,M103)</f>
        <v/>
      </c>
      <c r="N104" s="207">
        <f>SUM($I104,N$91)*AVERAGE(N101,N103)</f>
        <v/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/>
      </c>
      <c r="K108" s="11">
        <f>J110</f>
        <v/>
      </c>
      <c r="L108" s="11">
        <f>K110</f>
        <v/>
      </c>
      <c r="M108" s="11">
        <f>L110</f>
        <v/>
      </c>
      <c r="N108" s="11">
        <f>M110</f>
        <v/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/>
      </c>
      <c r="K109" s="207">
        <f>IF($I112=1,MIN(MAX(-K108,-(K$88+K$95+K102+(K$115-$L$5))),0),0)</f>
        <v/>
      </c>
      <c r="L109" s="207">
        <f>IF($I112=1,MIN(MAX(-L108,-(L$88+L$95+L102+(L$115-$L$5))),0),0)</f>
        <v/>
      </c>
      <c r="M109" s="207">
        <f>IF($I112=1,MIN(MAX(-M108,-(M$88+M$95+M102+(M$115-$L$5))),0),0)</f>
        <v/>
      </c>
      <c r="N109" s="207">
        <f>IF($I112=1,MIN(MAX(-N108,-(N$88+N$95+N102+(N$115-$L$5))),0),0)</f>
        <v/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7">
        <f>E6</f>
        <v/>
      </c>
      <c r="J110" s="268">
        <f>SUM(J108:J109)</f>
        <v/>
      </c>
      <c r="K110" s="238">
        <f>SUM(K108:K109)</f>
        <v/>
      </c>
      <c r="L110" s="238">
        <f>SUM(L108:L109)</f>
        <v/>
      </c>
      <c r="M110" s="238">
        <f>SUM(M108:M109)</f>
        <v/>
      </c>
      <c r="N110" s="238">
        <f>SUM(N108:N109)</f>
        <v/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70" t="n">
        <v>0.08</v>
      </c>
      <c r="J111" s="226">
        <f>$I111*AVERAGE(J108,J110)</f>
        <v/>
      </c>
      <c r="K111" s="207">
        <f>$I111*AVERAGE(K108,K110)</f>
        <v/>
      </c>
      <c r="L111" s="207">
        <f>$I111*AVERAGE(L108,L110)</f>
        <v/>
      </c>
      <c r="M111" s="207">
        <f>$I111*AVERAGE(M108,M110)</f>
        <v/>
      </c>
      <c r="N111" s="207">
        <f>$I111*AVERAGE(N108,N110)</f>
        <v/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/>
      </c>
      <c r="K115" s="11">
        <f>J117</f>
        <v/>
      </c>
      <c r="L115" s="11">
        <f>K117</f>
        <v/>
      </c>
      <c r="M115" s="11">
        <f>L117</f>
        <v/>
      </c>
      <c r="N115" s="11">
        <f>M117</f>
        <v/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/>
      </c>
      <c r="K116" s="207">
        <f>K88+K95+K102+K109</f>
        <v/>
      </c>
      <c r="L116" s="207">
        <f>L88+L95+L102+L109</f>
        <v/>
      </c>
      <c r="M116" s="207">
        <f>M88+M95+M102+M109</f>
        <v/>
      </c>
      <c r="N116" s="207">
        <f>N88+N95+N102+N109</f>
        <v/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7">
        <f>L5</f>
        <v/>
      </c>
      <c r="J117" s="268">
        <f>SUM(J115:J116)</f>
        <v/>
      </c>
      <c r="K117" s="238">
        <f>SUM(K115:K116)</f>
        <v/>
      </c>
      <c r="L117" s="238">
        <f>SUM(L115:L116)</f>
        <v/>
      </c>
      <c r="M117" s="238">
        <f>SUM(M115:M116)</f>
        <v/>
      </c>
      <c r="N117" s="238">
        <f>SUM(N115:N116)</f>
        <v/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70" t="n">
        <v>0.01</v>
      </c>
      <c r="J118" s="226">
        <f>$I118*AVERAGE(J115,J117)</f>
        <v/>
      </c>
      <c r="K118" s="207">
        <f>$I118*AVERAGE(K115,K117)</f>
        <v/>
      </c>
      <c r="L118" s="207">
        <f>$I118*AVERAGE(L115,L117)</f>
        <v/>
      </c>
      <c r="M118" s="207">
        <f>$I118*AVERAGE(M115,M117)</f>
        <v/>
      </c>
      <c r="N118" s="207">
        <f>$I118*AVERAGE(N115,N117)</f>
        <v/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/>
      </c>
      <c r="J121" s="226">
        <f>SUM(J96,J103,J110)</f>
        <v/>
      </c>
      <c r="K121" s="207">
        <f>SUM(K96,K103,K110)</f>
        <v/>
      </c>
      <c r="L121" s="207">
        <f>SUM(L96,L103,L110)</f>
        <v/>
      </c>
      <c r="M121" s="207">
        <f>SUM(M96,M103,M110)</f>
        <v/>
      </c>
      <c r="N121" s="207">
        <f>SUM(N96,N103,N110)</f>
        <v/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/>
      </c>
      <c r="J122" s="271">
        <f>J121/J$35</f>
        <v/>
      </c>
      <c r="K122" s="204">
        <f>K121/K$35</f>
        <v/>
      </c>
      <c r="L122" s="204">
        <f>L121/L$35</f>
        <v/>
      </c>
      <c r="M122" s="204">
        <f>M121/M$35</f>
        <v/>
      </c>
      <c r="N122" s="204">
        <f>N121/N$35</f>
        <v/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/>
      </c>
      <c r="J123" s="226">
        <f>SUM(J96,J103,J110,-J117)</f>
        <v/>
      </c>
      <c r="K123" s="207">
        <f>SUM(K96,K103,K110,-K117)</f>
        <v/>
      </c>
      <c r="L123" s="207">
        <f>SUM(L96,L103,L110,-L117)</f>
        <v/>
      </c>
      <c r="M123" s="207">
        <f>SUM(M96,M103,M110,-M117)</f>
        <v/>
      </c>
      <c r="N123" s="207">
        <f>SUM(N96,N103,N110,-N117)</f>
        <v/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/>
      </c>
      <c r="J124" s="271">
        <f>J123/J$35</f>
        <v/>
      </c>
      <c r="K124" s="204">
        <f>K123/K$35</f>
        <v/>
      </c>
      <c r="L124" s="204">
        <f>L123/L$35</f>
        <v/>
      </c>
      <c r="M124" s="204">
        <f>M123/M$35</f>
        <v/>
      </c>
      <c r="N124" s="204">
        <f>N123/N$35</f>
        <v/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/>
      </c>
      <c r="K125" s="207">
        <f>K97+K104+K111-K118</f>
        <v/>
      </c>
      <c r="L125" s="207">
        <f>L97+L104+L111-L118</f>
        <v/>
      </c>
      <c r="M125" s="207">
        <f>M97+M104+M111-M118</f>
        <v/>
      </c>
      <c r="N125" s="207">
        <f>N97+N104+N111-N118</f>
        <v/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71">
        <f>J41/-J43</f>
        <v/>
      </c>
      <c r="K126" s="204">
        <f>K41/-K43</f>
        <v/>
      </c>
      <c r="L126" s="204">
        <f>L41/-L43</f>
        <v/>
      </c>
      <c r="M126" s="204">
        <f>M41/-M43</f>
        <v/>
      </c>
      <c r="N126" s="204">
        <f>N41/-N43</f>
        <v/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2" t="inlineStr">
        <is>
          <t>Historical (FY Ending Dec.)</t>
        </is>
      </c>
      <c r="G2" s="273" t="n"/>
      <c r="H2" s="273" t="n"/>
      <c r="I2" s="273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4" t="n">
        <v>2018</v>
      </c>
      <c r="D3" s="275">
        <f>C3+1</f>
        <v/>
      </c>
      <c r="E3" s="275">
        <f>D3+1</f>
        <v/>
      </c>
      <c r="F3" s="276">
        <f>E3+1</f>
        <v/>
      </c>
      <c r="G3" s="276">
        <f>F3+1</f>
        <v/>
      </c>
      <c r="H3" s="276">
        <f>G3+1</f>
        <v/>
      </c>
      <c r="I3" s="276">
        <f>H3+1</f>
        <v/>
      </c>
      <c r="J3" s="277">
        <f>I3+1</f>
        <v/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8" t="n">
        <v>196.832</v>
      </c>
      <c r="D4" s="278" t="n">
        <v>370.716</v>
      </c>
      <c r="E4" s="278" t="n">
        <v>324.178</v>
      </c>
      <c r="F4" s="278" t="n">
        <v>286.384</v>
      </c>
      <c r="G4" s="278" t="n">
        <v>357.46</v>
      </c>
      <c r="H4" s="278" t="n">
        <v>426.976</v>
      </c>
      <c r="I4" s="278" t="n">
        <v>473.309</v>
      </c>
      <c r="J4" s="118" t="n"/>
      <c r="K4" s="279">
        <f>(I4/D4)^(1/5)-1</f>
        <v/>
      </c>
    </row>
    <row r="5" ht="15.75" customHeight="1" s="201">
      <c r="B5" s="120" t="inlineStr">
        <is>
          <t>% Growth</t>
        </is>
      </c>
      <c r="C5" s="120" t="n"/>
      <c r="D5" s="280">
        <f>(D4/C4)-1</f>
        <v/>
      </c>
      <c r="E5" s="280">
        <f>(E4/D4)-1</f>
        <v/>
      </c>
      <c r="F5" s="280">
        <f>(F4/E4)-1</f>
        <v/>
      </c>
      <c r="G5" s="280">
        <f>(G4/F4)-1</f>
        <v/>
      </c>
      <c r="H5" s="280">
        <f>(H4/G4)-1</f>
        <v/>
      </c>
      <c r="I5" s="280">
        <f>(I4/H4)-1</f>
        <v/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8" t="n">
        <v>75.42</v>
      </c>
      <c r="D6" s="278" t="n">
        <v>72.383</v>
      </c>
      <c r="E6" s="278" t="n">
        <v>66.80200000000001</v>
      </c>
      <c r="F6" s="278" t="n">
        <v>67.371</v>
      </c>
      <c r="G6" s="278" t="n">
        <v>71.678</v>
      </c>
      <c r="H6" s="278" t="n">
        <v>83.119</v>
      </c>
      <c r="I6" s="278" t="n">
        <v>92.489</v>
      </c>
      <c r="J6" s="118" t="n"/>
      <c r="K6" s="279">
        <f>(I6/D6)^(1/5)-1</f>
        <v/>
      </c>
    </row>
    <row r="7" ht="15.75" customHeight="1" s="201">
      <c r="B7" s="120" t="inlineStr">
        <is>
          <t>% Growth</t>
        </is>
      </c>
      <c r="C7" s="120" t="n"/>
      <c r="D7" s="280">
        <f>(D6/C6)-1</f>
        <v/>
      </c>
      <c r="E7" s="280">
        <f>(E6/D6)-1</f>
        <v/>
      </c>
      <c r="F7" s="280">
        <f>(F6/E6)-1</f>
        <v/>
      </c>
      <c r="G7" s="280">
        <f>(G6/F6)-1</f>
        <v/>
      </c>
      <c r="H7" s="280">
        <f>(H6/G6)-1</f>
        <v/>
      </c>
      <c r="I7" s="280">
        <f>(I6/H6)-1</f>
        <v/>
      </c>
      <c r="J7" s="118" t="n"/>
      <c r="K7" s="119" t="n"/>
    </row>
    <row r="8" ht="15.75" customHeight="1" s="201">
      <c r="B8" s="107" t="inlineStr">
        <is>
          <t>Total Contract Revenue</t>
        </is>
      </c>
      <c r="C8" s="281">
        <f>SUM(C4,C6)</f>
        <v/>
      </c>
      <c r="D8" s="281">
        <f>SUM(D4,D6)</f>
        <v/>
      </c>
      <c r="E8" s="281">
        <f>SUM(E4,E6)</f>
        <v/>
      </c>
      <c r="F8" s="281">
        <f>SUM(F4,F6)</f>
        <v/>
      </c>
      <c r="G8" s="281">
        <f>SUM(G4,G6)</f>
        <v/>
      </c>
      <c r="H8" s="281">
        <f>SUM(H4,H6)</f>
        <v/>
      </c>
      <c r="I8" s="281">
        <f>SUM(I4,I6)</f>
        <v/>
      </c>
      <c r="J8" s="124" t="n"/>
      <c r="K8" s="282">
        <f>(I8/D8)^(1/5)-1</f>
        <v/>
      </c>
    </row>
    <row r="9" ht="15.75" customHeight="1" s="201">
      <c r="B9" s="120" t="inlineStr">
        <is>
          <t>% Growth</t>
        </is>
      </c>
      <c r="C9" s="108" t="n"/>
      <c r="D9" s="280">
        <f>(D8/C8)-1</f>
        <v/>
      </c>
      <c r="E9" s="280">
        <f>(E8/D8)-1</f>
        <v/>
      </c>
      <c r="F9" s="280">
        <f>(F8/E8)-1</f>
        <v/>
      </c>
      <c r="G9" s="280">
        <f>(G8/F8)-1</f>
        <v/>
      </c>
      <c r="H9" s="280">
        <f>(H8/G8)-1</f>
        <v/>
      </c>
      <c r="I9" s="280">
        <f>(I8/H8)-1</f>
        <v/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80">
        <f>D4/D$8</f>
        <v/>
      </c>
      <c r="E10" s="280">
        <f>E4/E$8</f>
        <v/>
      </c>
      <c r="F10" s="280">
        <f>F4/F$8</f>
        <v/>
      </c>
      <c r="G10" s="280">
        <f>G4/G$8</f>
        <v/>
      </c>
      <c r="H10" s="280">
        <f>H4/H$8</f>
        <v/>
      </c>
      <c r="I10" s="280">
        <f>I4/I$8</f>
        <v/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80">
        <f>D6/D$8</f>
        <v/>
      </c>
      <c r="E11" s="280">
        <f>E6/E$8</f>
        <v/>
      </c>
      <c r="F11" s="280">
        <f>F6/F$8</f>
        <v/>
      </c>
      <c r="G11" s="280">
        <f>G6/G$8</f>
        <v/>
      </c>
      <c r="H11" s="280">
        <f>H6/H$8</f>
        <v/>
      </c>
      <c r="I11" s="280">
        <f>I6/I$8</f>
        <v/>
      </c>
      <c r="J11" s="118" t="n"/>
      <c r="K11" s="119" t="n"/>
    </row>
    <row r="12" ht="15.75" customHeight="1" s="201">
      <c r="B12" s="127" t="inlineStr">
        <is>
          <t>Total Net Revenue</t>
        </is>
      </c>
      <c r="C12" s="283" t="n">
        <v>139.559</v>
      </c>
      <c r="D12" s="283" t="n">
        <v>199.458</v>
      </c>
      <c r="E12" s="283" t="n">
        <v>194.542</v>
      </c>
      <c r="F12" s="283" t="n">
        <v>201.522</v>
      </c>
      <c r="G12" s="283" t="n">
        <v>226.551</v>
      </c>
      <c r="H12" s="283" t="n">
        <v>269.682</v>
      </c>
      <c r="I12" s="283" t="n">
        <v>296.325</v>
      </c>
      <c r="J12" s="284" t="n">
        <v>362.5</v>
      </c>
      <c r="K12" s="285">
        <f>(I12/D12)^(1/5)-1</f>
        <v/>
      </c>
    </row>
    <row r="13" ht="15.75" customHeight="1" s="201">
      <c r="B13" s="131" t="inlineStr">
        <is>
          <t>% Growth</t>
        </is>
      </c>
      <c r="C13" s="132" t="n"/>
      <c r="D13" s="286">
        <f>(D12/C12)-1</f>
        <v/>
      </c>
      <c r="E13" s="286">
        <f>(E12/D12)-1</f>
        <v/>
      </c>
      <c r="F13" s="286">
        <f>(F12/E12)-1</f>
        <v/>
      </c>
      <c r="G13" s="286">
        <f>(G12/F12)-1</f>
        <v/>
      </c>
      <c r="H13" s="286">
        <f>(H12/G12)-1</f>
        <v/>
      </c>
      <c r="I13" s="286">
        <f>(I12/H12)-1</f>
        <v/>
      </c>
      <c r="J13" s="287">
        <f>(J12/I12)-1</f>
        <v/>
      </c>
      <c r="K13" s="134" t="n"/>
    </row>
    <row r="14" ht="15.75" customHeight="1" s="201">
      <c r="B14" s="131" t="inlineStr">
        <is>
          <t>% Energy</t>
        </is>
      </c>
      <c r="C14" s="132" t="n"/>
      <c r="D14" s="286">
        <f>142.902/D$12</f>
        <v/>
      </c>
      <c r="E14" s="286">
        <f>137.354/E$12</f>
        <v/>
      </c>
      <c r="F14" s="286">
        <f>140.115/F$12</f>
        <v/>
      </c>
      <c r="G14" s="286">
        <f>157.995/G$12</f>
        <v/>
      </c>
      <c r="H14" s="286">
        <f>190.373/H$12</f>
        <v/>
      </c>
      <c r="I14" s="286">
        <f>207.217/I$12</f>
        <v/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6">
        <f>56.556/D$12</f>
        <v/>
      </c>
      <c r="E15" s="286">
        <f>57.188/E$12</f>
        <v/>
      </c>
      <c r="F15" s="286">
        <f>61.407/F$12</f>
        <v/>
      </c>
      <c r="G15" s="286">
        <f>68.556/G$12</f>
        <v/>
      </c>
      <c r="H15" s="286">
        <f>79.309/H$12</f>
        <v/>
      </c>
      <c r="I15" s="286">
        <f>89.108/I$12</f>
        <v/>
      </c>
      <c r="J15" s="135" t="n"/>
      <c r="K15" s="134" t="n"/>
    </row>
    <row r="16" ht="15.75" customHeight="1" s="201">
      <c r="B16" s="107" t="inlineStr">
        <is>
          <t>Gross Profit</t>
        </is>
      </c>
      <c r="C16" s="281">
        <f>C8-179.281</f>
        <v/>
      </c>
      <c r="D16" s="281">
        <f>D8-308.126</f>
        <v/>
      </c>
      <c r="E16" s="281">
        <f>E8-261.587</f>
        <v/>
      </c>
      <c r="F16" s="281">
        <f>F8-217.881</f>
        <v/>
      </c>
      <c r="G16" s="288" t="n">
        <v>143.579</v>
      </c>
      <c r="H16" s="288" t="n">
        <v>179.767</v>
      </c>
      <c r="I16" s="288" t="n">
        <v>202.782</v>
      </c>
      <c r="J16" s="118" t="n"/>
      <c r="K16" s="282">
        <f>(I16/D16)^(1/5)-1</f>
        <v/>
      </c>
    </row>
    <row r="17" ht="15.75" customHeight="1" s="201">
      <c r="B17" s="120" t="inlineStr">
        <is>
          <t>% Margin (Contract Rev.)</t>
        </is>
      </c>
      <c r="C17" s="280">
        <f>C16/C8</f>
        <v/>
      </c>
      <c r="D17" s="280">
        <f>D16/D8</f>
        <v/>
      </c>
      <c r="E17" s="280">
        <f>E16/E8</f>
        <v/>
      </c>
      <c r="F17" s="280">
        <f>F16/F8</f>
        <v/>
      </c>
      <c r="G17" s="280">
        <f>G16/G8</f>
        <v/>
      </c>
      <c r="H17" s="280">
        <f>H16/H8</f>
        <v/>
      </c>
      <c r="I17" s="280">
        <f>I16/I8</f>
        <v/>
      </c>
      <c r="J17" s="118" t="n"/>
      <c r="K17" s="119" t="n"/>
    </row>
    <row r="18" ht="15.75" customHeight="1" s="201">
      <c r="B18" s="120" t="inlineStr">
        <is>
          <t>% Margin (Net Rev.)</t>
        </is>
      </c>
      <c r="C18" s="280">
        <f>C16/C12</f>
        <v/>
      </c>
      <c r="D18" s="280">
        <f>D16/D12</f>
        <v/>
      </c>
      <c r="E18" s="280">
        <f>E16/E12</f>
        <v/>
      </c>
      <c r="F18" s="280">
        <f>F16/F12</f>
        <v/>
      </c>
      <c r="G18" s="280">
        <f>G16/G12</f>
        <v/>
      </c>
      <c r="H18" s="280">
        <f>H16/H12</f>
        <v/>
      </c>
      <c r="I18" s="280">
        <f>I16/I12</f>
        <v/>
      </c>
      <c r="J18" s="118" t="n"/>
      <c r="K18" s="119" t="n"/>
    </row>
    <row r="19" ht="15.75" customHeight="1" s="201">
      <c r="B19" s="127" t="inlineStr">
        <is>
          <t>Adj. EBITDA</t>
        </is>
      </c>
      <c r="C19" s="283" t="n">
        <v>25.422</v>
      </c>
      <c r="D19" s="283" t="n">
        <v>37.716</v>
      </c>
      <c r="E19" s="283" t="n">
        <v>28.126</v>
      </c>
      <c r="F19" s="283" t="n">
        <v>27.526</v>
      </c>
      <c r="G19" s="283" t="n">
        <v>23.276</v>
      </c>
      <c r="H19" s="283" t="n">
        <v>45.695</v>
      </c>
      <c r="I19" s="283" t="n">
        <v>56.751</v>
      </c>
      <c r="J19" s="289" t="n">
        <v>77.5</v>
      </c>
      <c r="K19" s="285">
        <f>(I19/D19)^(1/5)-1</f>
        <v/>
      </c>
    </row>
    <row r="20" ht="15.75" customHeight="1" s="201">
      <c r="B20" s="137" t="inlineStr">
        <is>
          <t>% Margin (Contract Rev.)</t>
        </is>
      </c>
      <c r="C20" s="290">
        <f>C19/C8</f>
        <v/>
      </c>
      <c r="D20" s="290">
        <f>D19/D8</f>
        <v/>
      </c>
      <c r="E20" s="290">
        <f>E19/E8</f>
        <v/>
      </c>
      <c r="F20" s="290">
        <f>F19/F8</f>
        <v/>
      </c>
      <c r="G20" s="290">
        <f>G19/G8</f>
        <v/>
      </c>
      <c r="H20" s="290">
        <f>H19/H8</f>
        <v/>
      </c>
      <c r="I20" s="290">
        <f>I19/I8</f>
        <v/>
      </c>
      <c r="J20" s="139" t="n"/>
      <c r="K20" s="140" t="n"/>
    </row>
    <row r="21" ht="15.75" customHeight="1" s="201">
      <c r="B21" s="141" t="inlineStr">
        <is>
          <t>% Margin (Net Rev.)</t>
        </is>
      </c>
      <c r="C21" s="291">
        <f>C19/C12</f>
        <v/>
      </c>
      <c r="D21" s="291">
        <f>D19/D12</f>
        <v/>
      </c>
      <c r="E21" s="291">
        <f>E19/E12</f>
        <v/>
      </c>
      <c r="F21" s="291">
        <f>F19/F12</f>
        <v/>
      </c>
      <c r="G21" s="291">
        <f>G19/G12</f>
        <v/>
      </c>
      <c r="H21" s="291">
        <f>H19/H12</f>
        <v/>
      </c>
      <c r="I21" s="291">
        <f>I19/I12</f>
        <v/>
      </c>
      <c r="J21" s="292">
        <f>J19/J12</f>
        <v/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B2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3" t="n">
        <v>3</v>
      </c>
      <c r="C4" s="147" t="n"/>
      <c r="D4" s="147" t="n"/>
      <c r="E4" s="294">
        <f>F4-43.824</f>
        <v/>
      </c>
      <c r="F4" s="295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6">
        <f>B4+1</f>
        <v/>
      </c>
      <c r="C5" s="147" t="n"/>
      <c r="D5" s="147" t="n"/>
      <c r="E5" s="294">
        <f>F5-40.373</f>
        <v/>
      </c>
      <c r="F5" s="295" t="n">
        <v>92.218</v>
      </c>
      <c r="G5" s="148" t="n"/>
      <c r="H5" s="294">
        <f>F5-57.489</f>
        <v/>
      </c>
      <c r="I5" s="297">
        <f>H5/E5</f>
        <v/>
      </c>
      <c r="J5" s="295" t="n">
        <v>9.417</v>
      </c>
      <c r="K5" s="297">
        <f>J5/E5</f>
        <v/>
      </c>
      <c r="L5" s="295" t="n">
        <v>11.514</v>
      </c>
      <c r="M5" s="295" t="n">
        <v>4.602</v>
      </c>
      <c r="N5" s="294">
        <f>L5-M5</f>
        <v/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8" t="n">
        <v>1</v>
      </c>
      <c r="C6" s="147" t="n"/>
      <c r="D6" s="147" t="n"/>
      <c r="E6" s="294">
        <f>F6-41.668</f>
        <v/>
      </c>
      <c r="F6" s="295" t="n">
        <v>91.83799999999999</v>
      </c>
      <c r="G6" s="148" t="n"/>
      <c r="H6" s="294">
        <f>F6-60.478</f>
        <v/>
      </c>
      <c r="I6" s="297">
        <f>H6/E6</f>
        <v/>
      </c>
      <c r="J6" s="295" t="n">
        <v>2.347</v>
      </c>
      <c r="K6" s="297">
        <f>J6/E6</f>
        <v/>
      </c>
      <c r="L6" s="295" t="n">
        <v>-7.754</v>
      </c>
      <c r="M6" s="295" t="n">
        <v>2.103</v>
      </c>
      <c r="N6" s="294">
        <f>L6-M6</f>
        <v/>
      </c>
      <c r="O6" s="150" t="n"/>
      <c r="P6" s="150" t="n"/>
      <c r="Q6" s="150" t="n"/>
      <c r="R6" s="150" t="n"/>
      <c r="S6" s="295" t="n">
        <v>117.21</v>
      </c>
      <c r="T6" s="295" t="n">
        <v>7.651</v>
      </c>
      <c r="U6" s="294">
        <f>S6-T6</f>
        <v/>
      </c>
    </row>
    <row r="7" hidden="1" outlineLevel="1" ht="15.75" customHeight="1" s="201">
      <c r="B7" s="299">
        <f>B6+1</f>
        <v/>
      </c>
      <c r="C7" s="147" t="n"/>
      <c r="D7" s="147" t="n"/>
      <c r="E7" s="294">
        <f>F7-49.771</f>
        <v/>
      </c>
      <c r="F7" s="295" t="n">
        <v>102.645</v>
      </c>
      <c r="G7" s="148" t="n"/>
      <c r="H7" s="294">
        <f>F7-71.055</f>
        <v/>
      </c>
      <c r="I7" s="297">
        <f>H7/E7</f>
        <v/>
      </c>
      <c r="J7" s="295" t="n">
        <v>1.169</v>
      </c>
      <c r="K7" s="297">
        <f>J7/E7</f>
        <v/>
      </c>
      <c r="L7" s="294">
        <f>-3.569-L6</f>
        <v/>
      </c>
      <c r="M7" s="294">
        <f>4.344-M6</f>
        <v/>
      </c>
      <c r="N7" s="294">
        <f>L7-M7</f>
        <v/>
      </c>
      <c r="O7" s="150" t="n"/>
      <c r="P7" s="150" t="n"/>
      <c r="Q7" s="150" t="n"/>
      <c r="R7" s="150" t="n"/>
      <c r="S7" s="295" t="n">
        <v>113.61</v>
      </c>
      <c r="T7" s="295" t="n">
        <v>5.811</v>
      </c>
      <c r="U7" s="294">
        <f>S7-T7</f>
        <v/>
      </c>
    </row>
    <row r="8" collapsed="1" ht="15.75" customHeight="1" s="201">
      <c r="B8" s="298" t="n">
        <v>3</v>
      </c>
      <c r="C8" s="295" t="n">
        <v>41.068</v>
      </c>
      <c r="D8" s="295" t="n">
        <v>17.874</v>
      </c>
      <c r="E8" s="294">
        <f>C8+D8</f>
        <v/>
      </c>
      <c r="F8" s="295" t="n">
        <v>121.399</v>
      </c>
      <c r="G8" s="300">
        <f>(E8/E4)-1</f>
        <v/>
      </c>
      <c r="H8" s="294">
        <f>F8-83.877</f>
        <v/>
      </c>
      <c r="I8" s="297">
        <f>H8/E8</f>
        <v/>
      </c>
      <c r="J8" s="295" t="n">
        <v>7.981</v>
      </c>
      <c r="K8" s="297">
        <f>J8/E8</f>
        <v/>
      </c>
      <c r="L8" s="294">
        <f>4.503-SUM(L6:L7)</f>
        <v/>
      </c>
      <c r="M8" s="294">
        <f>6.969-SUM(M6:M7)</f>
        <v/>
      </c>
      <c r="N8" s="294">
        <f>L8-M8</f>
        <v/>
      </c>
      <c r="O8" s="301">
        <f>SUM(N5:N8)</f>
        <v/>
      </c>
      <c r="P8" s="302">
        <f>O8/SUM(J5:J8)</f>
        <v/>
      </c>
      <c r="Q8" s="295" t="n">
        <v>13.294922</v>
      </c>
      <c r="R8" s="301">
        <f>O8/Q8</f>
        <v/>
      </c>
      <c r="S8" s="295" t="n">
        <v>109.833</v>
      </c>
      <c r="T8" s="295" t="n">
        <v>8.818</v>
      </c>
      <c r="U8" s="294">
        <f>S8-T8</f>
        <v/>
      </c>
      <c r="V8" s="303">
        <f>U8/SUM(J5:J8)</f>
        <v/>
      </c>
    </row>
    <row r="9" ht="15.75" customHeight="1" s="201">
      <c r="B9" s="299">
        <f>B8+1</f>
        <v/>
      </c>
      <c r="C9" s="295" t="n">
        <v>47.254</v>
      </c>
      <c r="D9" s="295" t="n">
        <v>17.311</v>
      </c>
      <c r="E9" s="294">
        <f>C9+D9</f>
        <v/>
      </c>
      <c r="F9" s="295" t="n">
        <v>113.256</v>
      </c>
      <c r="G9" s="300">
        <f>(E9/E5)-1</f>
        <v/>
      </c>
      <c r="H9" s="294">
        <f>F9-70.149</f>
        <v/>
      </c>
      <c r="I9" s="297">
        <f>H9/E9</f>
        <v/>
      </c>
      <c r="J9" s="295" t="n">
        <v>11.779</v>
      </c>
      <c r="K9" s="297">
        <f>J9/E9</f>
        <v/>
      </c>
      <c r="L9" s="294">
        <f>9.433-SUM(L6:L8)</f>
        <v/>
      </c>
      <c r="M9" s="294">
        <f>9.602-SUM(M6:M8)</f>
        <v/>
      </c>
      <c r="N9" s="294">
        <f>L9-M9</f>
        <v/>
      </c>
      <c r="O9" s="301">
        <f>SUM(N6:N9)</f>
        <v/>
      </c>
      <c r="P9" s="302">
        <f>O9/SUM(J6:J9)</f>
        <v/>
      </c>
      <c r="Q9" s="295" t="n">
        <v>13.3872</v>
      </c>
      <c r="R9" s="301">
        <f>O9/Q9</f>
        <v/>
      </c>
      <c r="S9" s="295" t="n">
        <v>107.958</v>
      </c>
      <c r="T9" s="295" t="n">
        <v>8.805999999999999</v>
      </c>
      <c r="U9" s="294">
        <f>S9-T9</f>
        <v/>
      </c>
      <c r="V9" s="303">
        <f>U9/SUM(J6:J9)</f>
        <v/>
      </c>
    </row>
    <row r="10" ht="15.75" customHeight="1" s="201">
      <c r="B10" s="304" t="n">
        <v>1</v>
      </c>
      <c r="C10" s="295" t="n">
        <v>43.207</v>
      </c>
      <c r="D10" s="295" t="n">
        <v>18.484</v>
      </c>
      <c r="E10" s="294">
        <f>C10+D10</f>
        <v/>
      </c>
      <c r="F10" s="295" t="n">
        <v>102.603</v>
      </c>
      <c r="G10" s="300">
        <f>(E10/E6)-1</f>
        <v/>
      </c>
      <c r="H10" s="294">
        <f>F10-61.322</f>
        <v/>
      </c>
      <c r="I10" s="297">
        <f>H10/E10</f>
        <v/>
      </c>
      <c r="J10" s="295" t="n">
        <v>9.877000000000001</v>
      </c>
      <c r="K10" s="297">
        <f>J10/E10</f>
        <v/>
      </c>
      <c r="L10" s="295" t="n">
        <v>17.292</v>
      </c>
      <c r="M10" s="295" t="n">
        <v>3.488</v>
      </c>
      <c r="N10" s="294">
        <f>L10-M10</f>
        <v/>
      </c>
      <c r="O10" s="301">
        <f>SUM(N7:N10)</f>
        <v/>
      </c>
      <c r="P10" s="302">
        <f>O10/SUM(J7:J10)</f>
        <v/>
      </c>
      <c r="Q10" s="295" t="n">
        <v>13.489111</v>
      </c>
      <c r="R10" s="301">
        <f>O10/Q10</f>
        <v/>
      </c>
      <c r="S10" s="295" t="n">
        <v>102.223</v>
      </c>
      <c r="T10" s="295" t="n">
        <v>17.853</v>
      </c>
      <c r="U10" s="294">
        <f>S10-T10</f>
        <v/>
      </c>
      <c r="V10" s="303">
        <f>U10/SUM(J7:J10)</f>
        <v/>
      </c>
    </row>
    <row r="11" ht="15.75" customHeight="1" s="201">
      <c r="B11" s="305">
        <f>B10+1</f>
        <v/>
      </c>
      <c r="C11" s="295" t="n">
        <v>41.913</v>
      </c>
      <c r="D11" s="295" t="n">
        <v>20.022</v>
      </c>
      <c r="E11" s="294">
        <f>C11+D11</f>
        <v/>
      </c>
      <c r="F11" s="295" t="n">
        <v>119.077</v>
      </c>
      <c r="G11" s="300">
        <f>(E11/E7)-1</f>
        <v/>
      </c>
      <c r="H11" s="294">
        <f>F11-78.444</f>
        <v/>
      </c>
      <c r="I11" s="297">
        <f>H11/E11</f>
        <v/>
      </c>
      <c r="J11" s="295" t="n">
        <v>8.222</v>
      </c>
      <c r="K11" s="297">
        <f>J11/E11</f>
        <v/>
      </c>
      <c r="L11" s="294">
        <f>18.909-L10</f>
        <v/>
      </c>
      <c r="M11" s="294">
        <f>5.762-M10</f>
        <v/>
      </c>
      <c r="N11" s="294">
        <f>L11-M11</f>
        <v/>
      </c>
      <c r="O11" s="301">
        <f>SUM(N8:N11)</f>
        <v/>
      </c>
      <c r="P11" s="302">
        <f>O11/SUM(J8:J11)</f>
        <v/>
      </c>
      <c r="Q11" s="295" t="n">
        <v>13.594982</v>
      </c>
      <c r="R11" s="301">
        <f>O11/Q11</f>
        <v/>
      </c>
      <c r="S11" s="295" t="n">
        <v>102.988</v>
      </c>
      <c r="T11" s="295" t="n">
        <v>13.649</v>
      </c>
      <c r="U11" s="294">
        <f>S11-T11</f>
        <v/>
      </c>
      <c r="V11" s="303">
        <f>U11/SUM(J8:J11)</f>
        <v/>
      </c>
    </row>
    <row r="12" ht="15.75" customHeight="1" s="201">
      <c r="B12" s="305">
        <f>B11+1</f>
        <v/>
      </c>
      <c r="C12" s="295" t="n">
        <v>44.653</v>
      </c>
      <c r="D12" s="295" t="n">
        <v>20.631</v>
      </c>
      <c r="E12" s="294">
        <f>C12+D12</f>
        <v/>
      </c>
      <c r="F12" s="295" t="n">
        <v>132.738</v>
      </c>
      <c r="G12" s="300">
        <f>(E12/E8)-1</f>
        <v/>
      </c>
      <c r="H12" s="294">
        <f>F12-89.31</f>
        <v/>
      </c>
      <c r="I12" s="297">
        <f>H12/E12</f>
        <v/>
      </c>
      <c r="J12" s="295" t="n">
        <v>10.137</v>
      </c>
      <c r="K12" s="297">
        <f>J12/E12</f>
        <v/>
      </c>
      <c r="L12" s="294">
        <f>24.112-SUM(L10:L11)</f>
        <v/>
      </c>
      <c r="M12" s="294">
        <f>7.583-SUM(M10:M11)</f>
        <v/>
      </c>
      <c r="N12" s="294">
        <f>L12-M12</f>
        <v/>
      </c>
      <c r="O12" s="301">
        <f>SUM(N9:N12)</f>
        <v/>
      </c>
      <c r="P12" s="302">
        <f>O12/SUM(J9:J12)</f>
        <v/>
      </c>
      <c r="Q12" s="295" t="n">
        <v>13.646768</v>
      </c>
      <c r="R12" s="301">
        <f>O12/Q12</f>
        <v/>
      </c>
      <c r="S12" s="295" t="n">
        <v>100.495</v>
      </c>
      <c r="T12" s="295" t="n">
        <v>12.887</v>
      </c>
      <c r="U12" s="294">
        <f>S12-T12</f>
        <v/>
      </c>
      <c r="V12" s="303">
        <f>U12/SUM(J9:J12)</f>
        <v/>
      </c>
    </row>
    <row r="13" ht="15.75" customHeight="1" s="201">
      <c r="B13" s="305">
        <f>B12+1</f>
        <v/>
      </c>
      <c r="C13" s="295" t="n">
        <v>60.6</v>
      </c>
      <c r="D13" s="295" t="n">
        <v>20.172</v>
      </c>
      <c r="E13" s="294">
        <f>C13+D13</f>
        <v/>
      </c>
      <c r="F13" s="295" t="n">
        <v>155.677</v>
      </c>
      <c r="G13" s="300">
        <f>(E13/E9)-1</f>
        <v/>
      </c>
      <c r="H13" s="295" t="n">
        <v>54.425</v>
      </c>
      <c r="I13" s="297">
        <f>H13/E13</f>
        <v/>
      </c>
      <c r="J13" s="295" t="n">
        <v>17.459</v>
      </c>
      <c r="K13" s="297">
        <f>J13/E13</f>
        <v/>
      </c>
      <c r="L13" s="294">
        <f>39.214-SUM(L10:L12)</f>
        <v/>
      </c>
      <c r="M13" s="294">
        <f>9.925-SUM(M10:M12)</f>
        <v/>
      </c>
      <c r="N13" s="294">
        <f>L13-M13</f>
        <v/>
      </c>
      <c r="O13" s="301">
        <f>SUM(N10:N13)</f>
        <v/>
      </c>
      <c r="P13" s="302">
        <f>O13/SUM(J10:J13)</f>
        <v/>
      </c>
      <c r="Q13" s="295" t="n">
        <v>13.770106</v>
      </c>
      <c r="R13" s="301">
        <f>O13/Q13</f>
        <v/>
      </c>
      <c r="S13" s="295" t="n">
        <v>98.452</v>
      </c>
      <c r="T13" s="295" t="n">
        <v>23.397</v>
      </c>
      <c r="U13" s="294">
        <f>S13-T13</f>
        <v/>
      </c>
      <c r="V13" s="303">
        <f>U13/SUM(J10:J13)</f>
        <v/>
      </c>
    </row>
    <row r="14" ht="15.75" customHeight="1" s="201">
      <c r="B14" s="306" t="n">
        <v>1</v>
      </c>
      <c r="C14" s="295" t="n">
        <v>48.092</v>
      </c>
      <c r="D14" s="295" t="n">
        <v>20.838</v>
      </c>
      <c r="E14" s="294">
        <f>C14+D14</f>
        <v/>
      </c>
      <c r="F14" s="295" t="n">
        <v>122.489</v>
      </c>
      <c r="G14" s="300">
        <f>(E14/E10)-1</f>
        <v/>
      </c>
      <c r="H14" s="295" t="n">
        <v>47.418</v>
      </c>
      <c r="I14" s="297">
        <f>H14/E14</f>
        <v/>
      </c>
      <c r="J14" s="295" t="n">
        <v>11.034</v>
      </c>
      <c r="K14" s="297">
        <f>J14/E14</f>
        <v/>
      </c>
      <c r="L14" s="295" t="n">
        <v>26.949</v>
      </c>
      <c r="M14" s="295" t="n">
        <v>1.971</v>
      </c>
      <c r="N14" s="294">
        <f>L14-M14</f>
        <v/>
      </c>
      <c r="O14" s="301">
        <f>SUM(N11:N14)</f>
        <v/>
      </c>
      <c r="P14" s="302">
        <f>O14/SUM(J11:J14)</f>
        <v/>
      </c>
      <c r="Q14" s="295" t="n">
        <v>13.817074</v>
      </c>
      <c r="R14" s="301">
        <f>O14/Q14</f>
        <v/>
      </c>
      <c r="S14" s="295" t="n">
        <v>96.42400000000001</v>
      </c>
      <c r="T14" s="295" t="n">
        <v>46.925</v>
      </c>
      <c r="U14" s="294">
        <f>S14-T14</f>
        <v/>
      </c>
      <c r="V14" s="303">
        <f>U14/SUM(J11:J14)</f>
        <v/>
      </c>
    </row>
    <row r="15" ht="15.75" customHeight="1" s="201">
      <c r="B15" s="307">
        <f>B14+1</f>
        <v/>
      </c>
      <c r="C15" s="295" t="n">
        <v>50.296</v>
      </c>
      <c r="D15" s="295" t="n">
        <v>22.155</v>
      </c>
      <c r="E15" s="294">
        <f>C15+D15</f>
        <v/>
      </c>
      <c r="F15" s="295" t="n">
        <v>140.996</v>
      </c>
      <c r="G15" s="300">
        <f>(E15/E11)-1</f>
        <v/>
      </c>
      <c r="H15" s="295" t="n">
        <v>48.804</v>
      </c>
      <c r="I15" s="297">
        <f>H15/E15</f>
        <v/>
      </c>
      <c r="J15" s="295" t="n">
        <v>12.844</v>
      </c>
      <c r="K15" s="297">
        <f>J15/E15</f>
        <v/>
      </c>
      <c r="L15" s="294">
        <f>27.838-L14</f>
        <v/>
      </c>
      <c r="M15" s="294">
        <f>4.125-M14</f>
        <v/>
      </c>
      <c r="N15" s="294">
        <f>L15-M15</f>
        <v/>
      </c>
      <c r="O15" s="301">
        <f>SUM(N12:N15)</f>
        <v/>
      </c>
      <c r="P15" s="302">
        <f>O15/SUM(J12:J15)</f>
        <v/>
      </c>
      <c r="Q15" s="295" t="n">
        <v>13.994421</v>
      </c>
      <c r="R15" s="301">
        <f>O15/Q15</f>
        <v/>
      </c>
      <c r="S15" s="295" t="n">
        <v>94.53</v>
      </c>
      <c r="T15" s="295" t="n">
        <v>44.267</v>
      </c>
      <c r="U15" s="294">
        <f>S15-T15</f>
        <v/>
      </c>
      <c r="V15" s="303">
        <f>U15/SUM(J12:J15)</f>
        <v/>
      </c>
    </row>
    <row r="16" ht="15.75" customHeight="1" s="201">
      <c r="B16" s="307">
        <f>B15+1</f>
        <v/>
      </c>
      <c r="C16" s="295" t="n">
        <v>52.231</v>
      </c>
      <c r="D16" s="295" t="n">
        <v>23.458</v>
      </c>
      <c r="E16" s="294">
        <f>C16+D16</f>
        <v/>
      </c>
      <c r="F16" s="295" t="n">
        <v>158.252</v>
      </c>
      <c r="G16" s="300">
        <f>(E16/E12)-1</f>
        <v/>
      </c>
      <c r="H16" s="295" t="n">
        <v>51.601</v>
      </c>
      <c r="I16" s="297">
        <f>H16/E16</f>
        <v/>
      </c>
      <c r="J16" s="295" t="n">
        <v>15.177</v>
      </c>
      <c r="K16" s="297">
        <f>J16/E16</f>
        <v/>
      </c>
      <c r="L16" s="294">
        <f>38.611-SUM(L14:L15)</f>
        <v/>
      </c>
      <c r="M16" s="294">
        <f>6.074-SUM(M14:M15)</f>
        <v/>
      </c>
      <c r="N16" s="294">
        <f>L16-M16</f>
        <v/>
      </c>
      <c r="O16" s="301">
        <f>SUM(N13:N16)</f>
        <v/>
      </c>
      <c r="P16" s="302">
        <f>O16/SUM(J13:J16)</f>
        <v/>
      </c>
      <c r="Q16" s="295" t="n">
        <v>14.124865</v>
      </c>
      <c r="R16" s="301">
        <f>O16/Q16</f>
        <v/>
      </c>
      <c r="S16" s="295" t="n">
        <v>92.637</v>
      </c>
      <c r="T16" s="295" t="n">
        <v>53.106</v>
      </c>
      <c r="U16" s="294">
        <f>S16-T16</f>
        <v/>
      </c>
      <c r="V16" s="303">
        <f>U16/SUM(J13:J16)</f>
        <v/>
      </c>
    </row>
    <row r="17" ht="15.75" customHeight="1" s="201">
      <c r="B17" s="307">
        <f>B16+1</f>
        <v/>
      </c>
      <c r="C17" s="295" t="n">
        <v>56.598</v>
      </c>
      <c r="D17" s="295" t="n">
        <v>22.657</v>
      </c>
      <c r="E17" s="294">
        <f>C17+D17</f>
        <v/>
      </c>
      <c r="F17" s="295" t="n">
        <v>144.061</v>
      </c>
      <c r="G17" s="300">
        <f>(E17/E13)-1</f>
        <v/>
      </c>
      <c r="H17" s="295" t="n">
        <v>54.959</v>
      </c>
      <c r="I17" s="297">
        <f>H17/E17</f>
        <v/>
      </c>
      <c r="J17" s="295" t="n">
        <v>17.696</v>
      </c>
      <c r="K17" s="297">
        <f>J17/E17</f>
        <v/>
      </c>
      <c r="L17" s="294">
        <f>72.073-SUM(L14:L16)</f>
        <v/>
      </c>
      <c r="M17" s="294">
        <f>8.413-SUM(M14:M16)</f>
        <v/>
      </c>
      <c r="N17" s="294">
        <f>L17-M17</f>
        <v/>
      </c>
      <c r="O17" s="301">
        <f>SUM(N14:N17)</f>
        <v/>
      </c>
      <c r="P17" s="302">
        <f>O17/SUM(J14:J17)</f>
        <v/>
      </c>
      <c r="Q17" s="295" t="n">
        <v>14.407642</v>
      </c>
      <c r="R17" s="301">
        <f>O17/Q17</f>
        <v/>
      </c>
      <c r="S17" s="295" t="n">
        <v>90.137</v>
      </c>
      <c r="T17" s="295" t="n">
        <v>74.158</v>
      </c>
      <c r="U17" s="294">
        <f>S17-T17</f>
        <v/>
      </c>
      <c r="V17" s="303">
        <f>U17/SUM(J14:J17)</f>
        <v/>
      </c>
    </row>
    <row r="18" ht="15.75" customHeight="1" s="201">
      <c r="B18" s="308" t="n">
        <v>1</v>
      </c>
      <c r="C18" s="295" t="n">
        <v>60.168</v>
      </c>
      <c r="D18" s="295" t="n">
        <v>25.17</v>
      </c>
      <c r="E18" s="294">
        <f>C18+D18</f>
        <v/>
      </c>
      <c r="F18" s="295" t="n">
        <v>152.386</v>
      </c>
      <c r="G18" s="300">
        <f>(E18/E14)-1</f>
        <v/>
      </c>
      <c r="H18" s="295" t="n">
        <v>57.661</v>
      </c>
      <c r="I18" s="297">
        <f>H18/E18</f>
        <v/>
      </c>
      <c r="J18" s="295" t="n">
        <v>14.442</v>
      </c>
      <c r="K18" s="297">
        <f>J18/E18</f>
        <v/>
      </c>
      <c r="L18" s="295" t="n">
        <v>3.311</v>
      </c>
      <c r="M18" s="295" t="n">
        <v>2.31</v>
      </c>
      <c r="N18" s="294">
        <f>L18-M18</f>
        <v/>
      </c>
      <c r="O18" s="301">
        <f>SUM(N15:N18)</f>
        <v/>
      </c>
      <c r="P18" s="302">
        <f>O18/SUM(J15:J18)</f>
        <v/>
      </c>
      <c r="Q18" s="295" t="n">
        <v>14.496824</v>
      </c>
      <c r="R18" s="301">
        <f>O18/Q18</f>
        <v/>
      </c>
      <c r="S18" s="295" t="n">
        <v>87.5</v>
      </c>
      <c r="T18" s="295" t="n">
        <v>38.364</v>
      </c>
      <c r="U18" s="294">
        <f>S18-T18</f>
        <v/>
      </c>
      <c r="V18" s="303">
        <f>U18/SUM(J15:J18)</f>
        <v/>
      </c>
    </row>
    <row r="19" ht="15.75" customHeight="1" s="201">
      <c r="B19" s="309">
        <f>B18+1</f>
        <v/>
      </c>
      <c r="C19" s="295" t="n">
        <v>69.955</v>
      </c>
      <c r="D19" s="295" t="n">
        <v>25.013</v>
      </c>
      <c r="E19" s="294">
        <f>C19+D19</f>
        <v/>
      </c>
      <c r="F19" s="295" t="n">
        <v>173.473</v>
      </c>
      <c r="G19" s="300">
        <f>(E19/E15)-1</f>
        <v/>
      </c>
      <c r="H19" s="295" t="n">
        <v>68.325</v>
      </c>
      <c r="I19" s="297">
        <f>H19/E19</f>
        <v/>
      </c>
      <c r="J19" s="295" t="n">
        <v>21.922</v>
      </c>
      <c r="K19" s="297">
        <f>J19/E19</f>
        <v/>
      </c>
      <c r="L19" s="294">
        <f>28.724-L18</f>
        <v/>
      </c>
      <c r="M19" s="294">
        <f>4.517-M18</f>
        <v/>
      </c>
      <c r="N19" s="294">
        <f>L19-M19</f>
        <v/>
      </c>
      <c r="O19" s="301">
        <f>SUM(N16:N19)</f>
        <v/>
      </c>
      <c r="P19" s="302">
        <f>O19/SUM(J16:J19)</f>
        <v/>
      </c>
      <c r="Q19" s="295" t="n">
        <v>14.665087</v>
      </c>
      <c r="R19" s="301">
        <f>O19/Q19</f>
        <v/>
      </c>
      <c r="S19" s="295" t="n">
        <v>60</v>
      </c>
      <c r="T19" s="295" t="n">
        <v>32.348</v>
      </c>
      <c r="U19" s="294">
        <f>S19-T19</f>
        <v/>
      </c>
      <c r="V19" s="303">
        <f>U19/SUM(J16:J19)</f>
        <v/>
      </c>
    </row>
    <row r="20" ht="15.75" customHeight="1" s="201">
      <c r="B20" s="309">
        <f>B19+1</f>
        <v/>
      </c>
      <c r="C20" s="310" t="n">
        <v>69.214</v>
      </c>
      <c r="D20" s="310" t="n">
        <v>25.753</v>
      </c>
      <c r="E20" s="310">
        <f>C20+D20</f>
        <v/>
      </c>
      <c r="F20" s="310" t="n">
        <v>182.006</v>
      </c>
      <c r="G20" s="300">
        <f>(E20/E16)-1</f>
        <v/>
      </c>
      <c r="H20" s="310" t="n">
        <v>67.089</v>
      </c>
      <c r="I20" s="297">
        <f>H20/E20</f>
        <v/>
      </c>
      <c r="J20" s="310" t="n">
        <v>23.14</v>
      </c>
      <c r="K20" s="297">
        <f>J20/E20</f>
        <v/>
      </c>
      <c r="L20" s="294">
        <f>40.904-SUM(L18:L19)</f>
        <v/>
      </c>
      <c r="M20" s="294">
        <f>6.924-SUM(M18:M19)</f>
        <v/>
      </c>
      <c r="N20" s="294">
        <f>L20-M20</f>
        <v/>
      </c>
      <c r="O20" s="301">
        <f>SUM(N17:N20)</f>
        <v/>
      </c>
      <c r="P20" s="302">
        <f>O20/SUM(J17:J20)</f>
        <v/>
      </c>
      <c r="Q20" s="295" t="n">
        <v>14.749882</v>
      </c>
      <c r="R20" s="301">
        <f>O20/Q20</f>
        <v/>
      </c>
      <c r="S20" s="295" t="n">
        <v>49.375</v>
      </c>
      <c r="T20" s="295" t="n">
        <v>33.109</v>
      </c>
      <c r="U20" s="294">
        <f>S20-T20</f>
        <v/>
      </c>
      <c r="V20" s="303">
        <f>U20/SUM(J17:J20)</f>
        <v/>
      </c>
    </row>
    <row r="21" ht="15.75" customHeight="1" s="201">
      <c r="B21" s="157" t="inlineStr">
        <is>
          <t>CAGR</t>
        </is>
      </c>
      <c r="C21" s="302">
        <f>(C20/C8)^(1/3)-1</f>
        <v/>
      </c>
      <c r="D21" s="302">
        <f>(D20/D8)^(1/3)-1</f>
        <v/>
      </c>
      <c r="E21" s="302">
        <f>(E20/E8)^(1/3)-1</f>
        <v/>
      </c>
      <c r="F21" s="302">
        <f>(F20/F8)^(1/3)-1</f>
        <v/>
      </c>
      <c r="H21" s="302">
        <f>(H20/H8)^(1/3)-1</f>
        <v/>
      </c>
      <c r="I21" s="311">
        <f>I20-I8</f>
        <v/>
      </c>
      <c r="J21" s="302">
        <f>(J20/J8)^(1/3)-1</f>
        <v/>
      </c>
      <c r="K21" s="311">
        <f>K20-K8</f>
        <v/>
      </c>
      <c r="N21" s="153" t="n"/>
      <c r="O21" s="302">
        <f>(O20/O8)^(1/3)-1</f>
        <v/>
      </c>
      <c r="P21" s="302">
        <f>SUM(N8:N20)/SUM(J8:J20)</f>
        <v/>
      </c>
      <c r="R21" s="303">
        <f>R20/R8</f>
        <v/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2">
        <f>Model!E7</f>
        <v/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2">
        <f>Model!L4</f>
        <v/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3">
        <f>SUM(Model!E4:E6)</f>
        <v/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2">
        <f>Model!L5</f>
        <v/>
      </c>
      <c r="M5" s="108" t="n"/>
      <c r="N5" s="163" t="inlineStr">
        <is>
          <t>LTM</t>
        </is>
      </c>
      <c r="O5" s="108" t="n"/>
      <c r="P5" s="313">
        <f>SUM('Financial Performance'!F17:F20)</f>
        <v/>
      </c>
      <c r="Q5" s="314">
        <f>L$7/P5</f>
        <v/>
      </c>
      <c r="R5" s="314">
        <f>L$4/P5</f>
        <v/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3">
        <f>SUM(Model!L6:L7)</f>
        <v/>
      </c>
      <c r="M6" s="108" t="n"/>
      <c r="N6" s="163" t="inlineStr">
        <is>
          <t>2025E</t>
        </is>
      </c>
      <c r="O6" s="108" t="n"/>
      <c r="P6" s="312">
        <f>Model!I22</f>
        <v/>
      </c>
      <c r="Q6" s="314">
        <f>L$7/P6</f>
        <v/>
      </c>
      <c r="R6" s="314">
        <f>L$4/P6</f>
        <v/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5">
        <f>SUM(E4:E5)</f>
        <v/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5">
        <f>SUM(L4:L6)</f>
        <v/>
      </c>
      <c r="M7" s="108" t="n"/>
      <c r="N7" s="163" t="inlineStr">
        <is>
          <t>NTM</t>
        </is>
      </c>
      <c r="O7" s="108" t="n"/>
      <c r="P7" s="313">
        <f>(Model!I22*0.25)+(Model!J22*0.75)</f>
        <v/>
      </c>
      <c r="Q7" s="314">
        <f>L$7/P7</f>
        <v/>
      </c>
      <c r="R7" s="314">
        <f>L$4/P7</f>
        <v/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6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2">
        <f>Model!U11</f>
        <v/>
      </c>
      <c r="Q10" s="314">
        <f>L$7/P10</f>
        <v/>
      </c>
      <c r="R10" s="314">
        <f>L$4/P10</f>
        <v/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2">
        <f>Model!L5</f>
        <v/>
      </c>
      <c r="H11" s="164" t="n"/>
      <c r="I11" s="314">
        <f>G11/Model!U$11</f>
        <v/>
      </c>
      <c r="J11" s="314">
        <f>G11/Model!U$13</f>
        <v/>
      </c>
      <c r="K11" s="165" t="n"/>
      <c r="L11" s="161" t="n"/>
      <c r="M11" s="108" t="n"/>
      <c r="N11" s="163" t="inlineStr">
        <is>
          <t>2025E</t>
        </is>
      </c>
      <c r="O11" s="108" t="n"/>
      <c r="P11" s="312">
        <f>Model!U12</f>
        <v/>
      </c>
      <c r="Q11" s="314">
        <f>L$7/P11</f>
        <v/>
      </c>
      <c r="R11" s="314">
        <f>L$4/P11</f>
        <v/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2">
        <f>Model!E4</f>
        <v/>
      </c>
      <c r="H12" s="164" t="n"/>
      <c r="I12" s="314">
        <f>G12/Model!U$11</f>
        <v/>
      </c>
      <c r="J12" s="314">
        <f>G12/Model!U$13</f>
        <v/>
      </c>
      <c r="K12" s="165" t="n"/>
      <c r="L12" s="317">
        <f>INDEX(Model!I93:I98,MATCH("Interest",Model!B93:B98,0))</f>
        <v/>
      </c>
      <c r="M12" s="108" t="n"/>
      <c r="N12" s="163" t="inlineStr">
        <is>
          <t>NTM</t>
        </is>
      </c>
      <c r="O12" s="108" t="n"/>
      <c r="P12" s="312">
        <f>Model!U13</f>
        <v/>
      </c>
      <c r="Q12" s="314">
        <f>L$7/P12</f>
        <v/>
      </c>
      <c r="R12" s="314">
        <f>L$4/P12</f>
        <v/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2">
        <f>Model!E5</f>
        <v/>
      </c>
      <c r="H13" s="164" t="n"/>
      <c r="I13" s="314">
        <f>G13/Model!U$11</f>
        <v/>
      </c>
      <c r="J13" s="314">
        <f>G13/Model!U$13</f>
        <v/>
      </c>
      <c r="K13" s="165" t="n"/>
      <c r="L13" s="318">
        <f>Model!I104</f>
        <v/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2">
        <f>Model!E6</f>
        <v/>
      </c>
      <c r="H14" s="164" t="n"/>
      <c r="I14" s="314">
        <f>G14/Model!U$11</f>
        <v/>
      </c>
      <c r="J14" s="314">
        <f>G14/Model!U$13</f>
        <v/>
      </c>
      <c r="K14" s="165" t="n"/>
      <c r="L14" s="319">
        <f>INDEX(Model!I107:I112,MATCH("Interest",Model!B107:B112,0))</f>
        <v/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5">
        <f>SUM(G12:G14)</f>
        <v/>
      </c>
      <c r="H15" s="167" t="n"/>
      <c r="I15" s="320">
        <f>G15/Model!U$11</f>
        <v/>
      </c>
      <c r="J15" s="320">
        <f>G15/Model!U$13</f>
        <v/>
      </c>
      <c r="K15" s="176" t="n"/>
      <c r="L15" s="321" t="n">
        <v>0.0733</v>
      </c>
      <c r="M15" s="108" t="n"/>
      <c r="N15" s="163" t="inlineStr">
        <is>
          <t>LTM</t>
        </is>
      </c>
      <c r="O15" s="108" t="n"/>
      <c r="P15" s="313">
        <f>P10-SUM('Financial Performance'!M17:M20)</f>
        <v/>
      </c>
      <c r="Q15" s="314">
        <f>L$7/P15</f>
        <v/>
      </c>
      <c r="R15" s="314">
        <f>L$4/P15</f>
        <v/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2">
        <f>Model!E7</f>
        <v/>
      </c>
      <c r="H16" s="178" t="n"/>
      <c r="I16" s="323">
        <f>G16/Model!U$11</f>
        <v/>
      </c>
      <c r="J16" s="323">
        <f>G16/Model!U$13</f>
        <v/>
      </c>
      <c r="K16" s="179" t="n"/>
      <c r="L16" s="161" t="n"/>
      <c r="M16" s="108" t="n"/>
      <c r="N16" s="163" t="inlineStr">
        <is>
          <t>2025E</t>
        </is>
      </c>
      <c r="O16" s="108" t="n"/>
      <c r="P16" s="313">
        <f>P11-Model!I71</f>
        <v/>
      </c>
      <c r="Q16" s="314">
        <f>L$7/P16</f>
        <v/>
      </c>
      <c r="R16" s="314">
        <f>L$4/P16</f>
        <v/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4">
        <f>SUM(G15:G16)</f>
        <v/>
      </c>
      <c r="H17" s="178" t="n"/>
      <c r="I17" s="323">
        <f>G17/Model!U$11</f>
        <v/>
      </c>
      <c r="J17" s="323">
        <f>G17/Model!U$13</f>
        <v/>
      </c>
      <c r="K17" s="179" t="n"/>
      <c r="L17" s="161" t="n"/>
      <c r="M17" s="108" t="n"/>
      <c r="N17" s="163" t="inlineStr">
        <is>
          <t>NTM</t>
        </is>
      </c>
      <c r="O17" s="108" t="n"/>
      <c r="P17" s="313">
        <f>P12-((Model!I71*0.25)+(Model!J71*0.75))</f>
        <v/>
      </c>
      <c r="Q17" s="314">
        <f>L$7/P17</f>
        <v/>
      </c>
      <c r="R17" s="314">
        <f>L$4/P17</f>
        <v/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35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xmlns:r="http://schemas.openxmlformats.org/officeDocument/2006/relationships" ref="B27" r:id="rId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2025-12-26T22:47:47Z</dcterms:created>
  <dcterms:modified xsi:type="dcterms:W3CDTF">2026-08-05T12:49:49Z</dcterms:modified>
  <cp:lastModifiedBy>Lin, Jean Tzuying</cp:lastModifiedBy>
</cp:coreProperties>
</file>