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01f893e77c46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b24" sheetId="1" r:id="R0d418efbd8034d97"/>
    <x:sheet xmlns:r="http://schemas.openxmlformats.org/officeDocument/2006/relationships" name="Mar24" sheetId="2" r:id="R55c80a7281de484d"/>
    <x:sheet xmlns:r="http://schemas.openxmlformats.org/officeDocument/2006/relationships" name="Sheet3" sheetId="3" r:id="Rc08e33f5fb854847"/>
  </x:sheets>
  <x:definedNames>
    <x:definedName name="IQ_CH">110000</x:definedName>
    <x:definedName name="IQ_CQ">5000</x:definedName>
    <x:definedName name="IQ_CY">10000</x:definedName>
    <x:definedName name="IQ_DAILY">500000</x:definedName>
    <x:definedName name="IQ_DNTM" hidden="1">700000</x:definedName>
    <x:definedName name="IQ_FH">100000</x:definedName>
    <x:definedName name="IQ_FQ">500</x:definedName>
    <x:definedName name="IQ_FWD_CY" hidden="1">10001</x:definedName>
    <x:definedName name="IQ_FWD_CY1" hidden="1">10002</x:definedName>
    <x:definedName name="IQ_FWD_CY2" hidden="1">10003</x:definedName>
    <x:definedName name="IQ_FWD_FY" hidden="1">1001</x:definedName>
    <x:definedName name="IQ_FWD_FY1" hidden="1">1002</x:definedName>
    <x:definedName name="IQ_FWD_FY2" hidden="1">1003</x:definedName>
    <x:definedName name="IQ_FWD_Q" hidden="1">501</x:definedName>
    <x:definedName name="IQ_FWD_Q1" hidden="1">502</x:definedName>
    <x:definedName name="IQ_FWD_Q2" hidden="1">503</x:definedName>
    <x:definedName name="IQ_FY">1000</x:definedName>
    <x:definedName name="IQ_LATESTK" hidden="1">1000</x:definedName>
    <x:definedName name="IQ_LATESTQ" hidden="1">500</x:definedName>
    <x:definedName name="IQ_LTM">2000</x:definedName>
    <x:definedName name="IQ_LTMMONTH" hidden="1">120000</x:definedName>
    <x:definedName name="IQ_MONTH">15000</x:definedName>
    <x:definedName name="IQ_MTD" hidden="1">800000</x:definedName>
    <x:definedName name="IQ_NAMES_REVISION_DATE_" hidden="1">"01/22/2026 12:39:57"</x:definedName>
    <x:definedName name="IQ_NTM">6000</x:definedName>
    <x:definedName name="IQ_QTD" hidden="1">750000</x:definedName>
    <x:definedName name="IQ_TODAY" hidden="1">0</x:definedName>
    <x:definedName name="IQ_WEEK">50000</x:definedName>
    <x:definedName name="IQ_YTD">3000</x:definedName>
    <x:definedName name="IQ_YTDMONTH" hidden="1">130000</x:definedName>
  </x:definedName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<x:sst xmlns:x="http://schemas.openxmlformats.org/spreadsheetml/2006/main">
  <x:si>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date</x:t>
  </x:si>
  <x:si>
    <x:t xml:space="preserve">day</x:t>
  </x:si>
  <x:si>
    <x:t xml:space="preserve">time</x:t>
  </x:si>
  <x:si>
    <x:t xml:space="preserve">Systolic</x:t>
  </x:si>
  <x:si>
    <x:t xml:space="preserve">Diastolic</x:t>
  </x:si>
  <x:si>
    <x:t xml:space="preserve">Pulse</x:t>
  </x:si>
  <x:si>
    <x:t xml:space="preserve">Sugar</x:t>
  </x:si>
  <x:si>
    <x:t xml:space="preserve">Median</x:t>
  </x:si>
  <x:si>
    <x:t xml:space="preserve">Sys</x:t>
  </x:si>
  <x:si>
    <x:t xml:space="preserve">Dia</x:t>
  </x:si>
  <x:si>
    <x:t xml:space="preserve">Pul</x:t>
  </x:si>
  <x:si>
    <x:t xml:space="preserve">High value</x:t>
  </x:si>
  <x:si>
    <x:t xml:space="preserve">Low Value</x:t>
  </x:si>
  <x:si>
    <x:t xml:space="preserve">Standard Deviation</x:t>
  </x:si>
  <x:si>
    <x:t xml:space="preserve">`</x:t>
  </x:si>
  <x:si>
    <x:t xml:space="preserve">  </x:t>
  </x:si>
  <x:si>
    <x:t xml:space="preserve"> </x:t>
  </x:si>
</x:sst>
</file>

<file path=xl/styles.xml><?xml version="1.0" encoding="utf-8"?>
<x:styleSheet xmlns:x="http://schemas.openxmlformats.org/spreadsheetml/2006/main">
  <x:numFmts count="7">
    <x:numFmt numFmtId="164" formatCode="[$-409]mmm\-yy;@"/>
    <x:numFmt numFmtId="165" formatCode="[$-409]d\-mmm\-yy;@"/>
    <x:numFmt numFmtId="166" formatCode="h:mm;@"/>
    <x:numFmt numFmtId="167" formatCode="[$-409]h:mm\ AM/PM;@"/>
    <x:numFmt numFmtId="200" formatCode="yyyy-mm-dd"/>
    <x:numFmt numFmtId="201" formatCode="h:mm"/>
    <x:numFmt numFmtId="202" formatCode="0"/>
  </x:numFmts>
  <x:fonts count="6">
    <x:font>
      <x:sz val="12"/>
      <x:color theme="1"/>
      <x:name val="Garamond"/>
    </x:font>
    <x:font>
      <x:b/>
      <x:sz val="12"/>
      <x:color theme="1"/>
      <x:name val="Garamond"/>
    </x:font>
    <x:font>
      <x:sz val="12"/>
      <x:color theme="1"/>
      <x:name val="Garamond"/>
    </x:font>
    <x:font>
      <x:b/>
      <x:sz val="10"/>
      <x:color theme="1"/>
      <x:name val="Aptos"/>
    </x:font>
    <x:font>
      <x:sz val="10"/>
      <x:color theme="1"/>
      <x:name val="Aptos"/>
    </x:font>
    <x:font>
      <x:b/>
      <x:sz val="10"/>
      <x:color rgb="FFFFFFF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FF99CC"/>
      </x:patternFill>
    </x:fill>
    <x:fill>
      <x:patternFill patternType="solid">
        <x:fgColor rgb="FF92D050"/>
      </x:patternFill>
    </x:fill>
    <x:fill>
      <x:patternFill patternType="solid">
        <x:fgColor theme="9" tint="0.59999"/>
      </x:patternFill>
    </x:fill>
    <x:fill>
      <x:patternFill patternType="solid">
        <x:fgColor rgb="FF1F4E78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50">
    <x:xf numFmtId="0" fontId="0" fillId="0" borderId="0" xfId="0"/>
    <x:xf numFmtId="165" fontId="0" fillId="0" borderId="0" xfId="0" applyNumberFormat="1" applyAlignment="1">
      <x:alignment horizontal="center" vertical="center"/>
    </x:xf>
    <x:xf numFmtId="166" fontId="0" fillId="0" borderId="0" xfId="0" applyNumberFormat="1" applyAlignment="1">
      <x:alignment horizontal="center" vertical="center"/>
    </x:xf>
    <x:xf numFmtId="1" fontId="0" fillId="0" borderId="0" xfId="0" applyNumberFormat="1" applyAlignment="1">
      <x:alignment horizontal="center" vertical="center"/>
    </x:xf>
    <x:xf numFmtId="165" fontId="0" fillId="0" borderId="0" xfId="0" applyNumberFormat="1"/>
    <x:xf numFmtId="0" fontId="0" fillId="0" borderId="0" xfId="0" applyAlignment="1">
      <x:alignment horizontal="center" vertical="center"/>
    </x:xf>
    <x:xf numFmtId="165" fontId="1" fillId="2" borderId="0" xfId="0" applyNumberFormat="1" applyFont="1" applyFill="1"/>
    <x:xf numFmtId="165" fontId="1" fillId="2" borderId="0" xfId="0" applyNumberFormat="1" applyFont="1" applyFill="1" applyAlignment="1">
      <x:alignment horizontal="center" vertical="center"/>
    </x:xf>
    <x:xf numFmtId="166" fontId="1" fillId="2" borderId="0" xfId="0" applyNumberFormat="1" applyFont="1" applyFill="1" applyAlignment="1">
      <x:alignment horizontal="center" vertical="center"/>
    </x:xf>
    <x:xf numFmtId="1" fontId="1" fillId="2" borderId="0" xfId="0" applyNumberFormat="1" applyFont="1" applyFill="1" applyAlignment="1">
      <x:alignment horizontal="center" vertical="center"/>
    </x:xf>
    <x:xf numFmtId="165" fontId="1" fillId="3" borderId="0" xfId="0" applyNumberFormat="1" applyFont="1" applyFill="1"/>
    <x:xf numFmtId="165" fontId="1" fillId="3" borderId="0" xfId="0" applyNumberFormat="1" applyFont="1" applyFill="1" applyAlignment="1">
      <x:alignment horizontal="center" vertical="center"/>
    </x:xf>
    <x:xf numFmtId="166" fontId="1" fillId="3" borderId="0" xfId="0" applyNumberFormat="1" applyFont="1" applyFill="1" applyAlignment="1">
      <x:alignment horizontal="center" vertical="center"/>
    </x:xf>
    <x:xf numFmtId="1" fontId="1" fillId="3" borderId="0" xfId="0" applyNumberFormat="1" applyFont="1" applyFill="1" applyAlignment="1">
      <x:alignment horizontal="center" vertical="center"/>
    </x:xf>
    <x:xf numFmtId="167" fontId="0" fillId="0" borderId="0" xfId="0" applyNumberFormat="1" applyAlignment="1">
      <x:alignment horizontal="center" vertical="center"/>
    </x:xf>
    <x:xf numFmtId="14" fontId="0" fillId="0" borderId="0" xfId="0" applyNumberFormat="1" applyAlignment="1">
      <x:alignment horizontal="center" vertical="center"/>
    </x:xf>
    <x:xf numFmtId="1" fontId="0" fillId="4" borderId="0" xfId="0" applyNumberFormat="1" applyFill="1" applyAlignment="1">
      <x:alignment horizontal="center" vertical="center"/>
    </x:xf>
    <x:xf numFmtId="165" fontId="1" fillId="0" borderId="0" xfId="0" applyNumberFormat="1" applyFont="1" applyAlignment="1">
      <x:alignment horizontal="center" vertical="center"/>
    </x:xf>
    <x:xf numFmtId="167" fontId="1" fillId="0" borderId="0" xfId="0" applyNumberFormat="1" applyFont="1" applyAlignment="1">
      <x:alignment horizontal="center" vertical="center"/>
    </x:xf>
    <x:xf numFmtId="1" fontId="1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164" fontId="0" fillId="0" borderId="0" xfId="0" applyNumberFormat="1" applyAlignment="1">
      <x:alignment horizontal="center" vertical="center"/>
    </x:xf>
    <x:xf numFmtId="165" fontId="0" fillId="0" borderId="0" xfId="0" applyNumberFormat="1"/>
    <x:xf numFmtId="0" fontId="0" fillId="0" borderId="0" xfId="0"/>
    <x:xf numFmtId="165" fontId="3" fillId="0" borderId="0" xfId="0" applyNumberFormat="1" applyFont="1" applyFill="1" applyBorder="1" applyAlignment="1">
      <x:alignment horizontal="center" vertical="center"/>
    </x:xf>
    <x:xf numFmtId="167" fontId="3" fillId="0" borderId="0" xfId="0" applyNumberFormat="1" applyFont="1" applyFill="1" applyBorder="1" applyAlignment="1">
      <x:alignment horizontal="center" vertical="center"/>
    </x:xf>
    <x:xf numFmtId="1" fontId="3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14" fontId="4" fillId="0" borderId="0" xfId="0" applyNumberFormat="1" applyFont="1" applyFill="1" applyBorder="1" applyAlignment="1">
      <x:alignment horizontal="center" vertical="center"/>
    </x:xf>
    <x:xf numFmtId="167" fontId="4" fillId="0" borderId="0" xfId="0" applyNumberFormat="1" applyFont="1" applyFill="1" applyBorder="1" applyAlignment="1">
      <x:alignment horizontal="center" vertical="center"/>
    </x:xf>
    <x:xf numFmtId="1" fontId="4" fillId="4" borderId="0" xfId="0" applyNumberFormat="1" applyFont="1" applyFill="1" applyBorder="1" applyAlignment="1">
      <x:alignment horizontal="center" vertical="center"/>
    </x:xf>
    <x:xf numFmtId="165" fontId="3" fillId="0" borderId="1" xfId="0" applyNumberFormat="1" applyFont="1" applyFill="1" applyBorder="1" applyAlignment="1">
      <x:alignment horizontal="center" vertical="center"/>
    </x:xf>
    <x:xf numFmtId="167" fontId="3" fillId="0" borderId="1" xfId="0" applyNumberFormat="1" applyFont="1" applyFill="1" applyBorder="1" applyAlignment="1">
      <x:alignment horizontal="center" vertical="center"/>
    </x:xf>
    <x:xf numFmtId="1" fontId="3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14" fontId="4" fillId="0" borderId="1" xfId="0" applyNumberFormat="1" applyFont="1" applyFill="1" applyBorder="1" applyAlignment="1">
      <x:alignment horizontal="center" vertical="center"/>
    </x:xf>
    <x:xf numFmtId="167" fontId="4" fillId="0" borderId="1" xfId="0" applyNumberFormat="1" applyFont="1" applyFill="1" applyBorder="1" applyAlignment="1">
      <x:alignment horizontal="center" vertical="center"/>
    </x:xf>
    <x:xf numFmtId="1" fontId="4" fillId="4" borderId="1" xfId="0" applyNumberFormat="1" applyFont="1" applyFill="1" applyBorder="1" applyAlignment="1">
      <x:alignment horizontal="center" vertical="center"/>
    </x:xf>
    <x:xf numFmtId="165" fontId="3" fillId="5" borderId="1" xfId="0" applyNumberFormat="1" applyFont="1" applyFill="1" applyBorder="1" applyAlignment="1">
      <x:alignment horizontal="center" vertical="center"/>
    </x:xf>
    <x:xf numFmtId="167" fontId="3" fillId="5" borderId="1" xfId="0" applyNumberFormat="1" applyFont="1" applyFill="1" applyBorder="1" applyAlignment="1">
      <x:alignment horizontal="center" vertical="center"/>
    </x:xf>
    <x:xf numFmtId="1" fontId="3" fillId="5" borderId="1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165" fontId="5" fillId="5" borderId="1" xfId="0" applyNumberFormat="1" applyFont="1" applyFill="1" applyBorder="1" applyAlignment="1">
      <x:alignment horizontal="center" vertical="center"/>
    </x:xf>
    <x:xf numFmtId="167" fontId="5" fillId="5" borderId="1" xfId="0" applyNumberFormat="1" applyFont="1" applyFill="1" applyBorder="1" applyAlignment="1">
      <x:alignment horizontal="center" vertical="center"/>
    </x:xf>
    <x:xf numFmtId="1" fontId="5" fillId="5" borderId="1" xfId="0" applyNumberFormat="1" applyFont="1" applyFill="1" applyBorder="1" applyAlignment="1">
      <x:alignment horizontal="center" vertical="center"/>
    </x:xf>
    <x:xf numFmtId="0" fontId="5" fillId="5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201" fontId="4" fillId="0" borderId="1" xfId="0" applyNumberFormat="1" applyFont="1" applyFill="1" applyBorder="1" applyAlignment="1">
      <x:alignment horizontal="center" vertical="center"/>
    </x:xf>
    <x:xf numFmtId="202" fontId="4" fillId="4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9">
    <x:dxf>
      <x:font>
        <x:color theme="0"/>
      </x:font>
    </x:dxf>
    <x:dxf>
      <x:font>
        <x:color theme="1"/>
      </x:font>
      <x:fill>
        <x:patternFill>
          <x:bgColor rgb="FFFFC7CE"/>
        </x:patternFill>
      </x:fill>
    </x:dxf>
    <x:dxf>
      <x:font>
        <x:color theme="1"/>
      </x:font>
      <x:fill>
        <x:patternFill>
          <x:bgColor rgb="FFFFFF00"/>
        </x:patternFill>
      </x:fill>
    </x:dxf>
    <x:dxf>
      <x:font>
        <x:color theme="1"/>
      </x:font>
      <x:fill>
        <x:patternFill>
          <x:bgColor rgb="FFFFC7CE"/>
        </x:patternFill>
      </x:fill>
    </x:dxf>
    <x:dxf>
      <x:font>
        <x:color theme="1"/>
      </x:font>
      <x:fill>
        <x:patternFill>
          <x:bgColor rgb="FFFFFF00"/>
        </x:patternFill>
      </x:fill>
    </x:dxf>
    <x:dxf>
      <x:font>
        <x:color theme="1"/>
      </x:font>
      <x:fill>
        <x:patternFill>
          <x:bgColor rgb="FFFFC7CE"/>
        </x:patternFill>
      </x:fill>
    </x:dxf>
    <x:dxf>
      <x:font>
        <x:color theme="1"/>
      </x:font>
      <x:fill>
        <x:patternFill>
          <x:bgColor rgb="FFFFFF00"/>
        </x:patternFill>
      </x:fill>
    </x:dxf>
    <x:dxf>
      <x:font>
        <x:color theme="1"/>
      </x:font>
      <x:fill>
        <x:patternFill>
          <x:bgColor rgb="FFFFC7CE"/>
        </x:patternFill>
      </x:fill>
    </x:dxf>
    <x:dxf>
      <x:font>
        <x:color theme="1"/>
      </x:font>
      <x:fill>
        <x:patternFill>
          <x:bgColor rgb="FFFFFF00"/>
        </x:patternFill>
      </x:fill>
    </x:dxf>
    <x:dxf>
      <x:fill>
        <x:patternFill>
          <x:bgColor rgb="FF92D050"/>
        </x:patternFill>
      </x:fill>
    </x:dxf>
    <x:dxf>
      <x:font>
        <x:color theme="1"/>
      </x:font>
      <x:fill>
        <x:patternFill>
          <x:bgColor rgb="FFFFC7CE"/>
        </x:patternFill>
      </x:fill>
    </x:dxf>
    <x:dxf>
      <x:font>
        <x:color theme="1"/>
      </x:font>
      <x:fill>
        <x:patternFill>
          <x:bgColor rgb="FFFFFF00"/>
        </x:patternFill>
      </x:fill>
    </x:dxf>
    <x:dxf>
      <x:font>
        <x:color theme="1"/>
      </x:font>
      <x:fill>
        <x:patternFill>
          <x:bgColor rgb="FFFFC7CE"/>
        </x:patternFill>
      </x:fill>
    </x:dxf>
    <x:dxf>
      <x:font>
        <x:color theme="1"/>
      </x:font>
      <x:fill>
        <x:patternFill>
          <x:bgColor rgb="FFFFFF00"/>
        </x:patternFill>
      </x:fill>
    </x:dxf>
    <x:dxf>
      <x:font>
        <x:color theme="1"/>
      </x:font>
      <x:fill>
        <x:patternFill>
          <x:bgColor rgb="FFFFC7CE"/>
        </x:patternFill>
      </x:fill>
    </x:dxf>
    <x:dxf>
      <x:font>
        <x:color theme="1"/>
      </x:font>
      <x:fill>
        <x:patternFill>
          <x:bgColor rgb="FFFFFF00"/>
        </x:patternFill>
      </x:fill>
    </x:dxf>
    <x:dxf>
      <x:font>
        <x:color theme="1"/>
      </x:font>
      <x:fill>
        <x:patternFill>
          <x:bgColor rgb="FFFFC7CE"/>
        </x:patternFill>
      </x:fill>
    </x:dxf>
    <x:dxf>
      <x:font>
        <x:color theme="1"/>
      </x:font>
      <x:fill>
        <x:patternFill>
          <x:bgColor rgb="FFFFFF00"/>
        </x:patternFill>
      </x:fill>
    </x:dxf>
    <x:dxf>
      <x:fill>
        <x:patternFill>
          <x:bgColor rgb="FF92D05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7679e95ddc4296" /><Relationship Type="http://schemas.openxmlformats.org/officeDocument/2006/relationships/theme" Target="/xl/theme/theme1.xml" Id="Rea54f5adeba94ee7" /><Relationship Type="http://schemas.openxmlformats.org/officeDocument/2006/relationships/sheetMetadata" Target="/xl/metadata1.xml" Id="R0ad1de5d68db405a" /><Relationship Type="http://schemas.openxmlformats.org/officeDocument/2006/relationships/sharedStrings" Target="/xl/sharedStrings.xml" Id="Re03a153032ca4859" /><Relationship Type="http://schemas.openxmlformats.org/officeDocument/2006/relationships/worksheet" Target="/xl/worksheets/sheet1.xml" Id="R0d418efbd8034d97" /><Relationship Type="http://schemas.openxmlformats.org/officeDocument/2006/relationships/worksheet" Target="/xl/worksheets/sheet2.xml" Id="R55c80a7281de484d" /><Relationship Type="http://schemas.openxmlformats.org/officeDocument/2006/relationships/worksheet" Target="/xl/worksheets/sheet3.xml" Id="Rc08e33f5fb85484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61b78423d5b4ee3" /></Relationships>
</file>

<file path=xl/drawings/charts/chart1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975"/>
              <a:t>Measurements from 2024-02-08 to 2024-03-08</a:t>
            </a:r>
          </a:p>
        </c:rich>
      </c:tx>
      <c:txPr>
        <a:bodyPr anchorCtr="1"/>
        <a:lstStyle/>
        <a:p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Systolic</c:v>
          </c:tx>
          <c:spPr>
            <a:solidFill>
              <a:srgbClr val="2563EB"/>
            </a:solidFill>
          </c:spPr>
          <c:marker>
            <c:symbol val="none"/>
          </c:marker>
          <c:cat>
            <c:strLit>
              <c:ptCount val="30"/>
              <c:pt idx="0">
                <c:v>2024-02-08
Thu 10:50</c:v>
              </c:pt>
              <c:pt idx="1">
                <c:v>2024-02-09
Fri 10:03</c:v>
              </c:pt>
              <c:pt idx="2">
                <c:v>2024-02-10
Sat 10:19</c:v>
              </c:pt>
              <c:pt idx="3">
                <c:v>2024-02-11
Sun 10:11</c:v>
              </c:pt>
              <c:pt idx="4">
                <c:v>2024-02-12
Mon 10:18</c:v>
              </c:pt>
              <c:pt idx="5">
                <c:v>2024-02-13
Tue 10:33</c:v>
              </c:pt>
              <c:pt idx="6">
                <c:v>2024-02-14
Wed 10:20</c:v>
              </c:pt>
              <c:pt idx="7">
                <c:v>2024-02-15
Thu 11:22</c:v>
              </c:pt>
              <c:pt idx="8">
                <c:v>2024-02-16
Fri 10:29</c:v>
              </c:pt>
              <c:pt idx="9">
                <c:v>2024-02-17
Sat 10:09</c:v>
              </c:pt>
              <c:pt idx="10">
                <c:v>2024-02-18
Sun</c:v>
              </c:pt>
              <c:pt idx="11">
                <c:v>2024-02-19
Mon 10:12</c:v>
              </c:pt>
              <c:pt idx="12">
                <c:v>2024-02-20
Tue 10:12</c:v>
              </c:pt>
              <c:pt idx="13">
                <c:v>2024-02-21
Wed 11:32</c:v>
              </c:pt>
              <c:pt idx="14">
                <c:v>2024-02-22
Thu 12:00</c:v>
              </c:pt>
              <c:pt idx="15">
                <c:v>2024-02-23
Fri 10:32</c:v>
              </c:pt>
              <c:pt idx="16">
                <c:v>2024-02-24
Sat 10:10</c:v>
              </c:pt>
              <c:pt idx="17">
                <c:v>2024-02-25
Sun 10:38</c:v>
              </c:pt>
              <c:pt idx="18">
                <c:v>2024-02-26
Mon 10:57</c:v>
              </c:pt>
              <c:pt idx="19">
                <c:v>2024-02-27
Tue 10:35</c:v>
              </c:pt>
              <c:pt idx="20">
                <c:v>2024-02-28
Wed 11:31</c:v>
              </c:pt>
              <c:pt idx="21">
                <c:v>2024-02-29
Thu 10:57</c:v>
              </c:pt>
              <c:pt idx="22">
                <c:v>2024-03-01
Fri 11:30</c:v>
              </c:pt>
              <c:pt idx="23">
                <c:v>2024-03-02
Sat 10:32</c:v>
              </c:pt>
              <c:pt idx="24">
                <c:v>2024-03-03
Sun 11:29</c:v>
              </c:pt>
              <c:pt idx="25">
                <c:v>2024-03-04
Mon 10:14</c:v>
              </c:pt>
              <c:pt idx="26">
                <c:v>2024-03-05
Tue 10:57</c:v>
              </c:pt>
              <c:pt idx="27">
                <c:v>2024-03-06
Wed 10:30</c:v>
              </c:pt>
              <c:pt idx="28">
                <c:v>2024-03-07
Thu 8:55</c:v>
              </c:pt>
              <c:pt idx="29">
                <c:v>2024-03-08
Fri 10:57</c:v>
              </c:pt>
            </c:strLit>
          </c:cat>
          <c:val>
            <c:numLit>
              <c:formatCode>0</c:formatCode>
              <c:ptCount val="30"/>
              <c:pt idx="0">
                <c:v>143</c:v>
              </c:pt>
              <c:pt idx="1">
                <c:v>128</c:v>
              </c:pt>
              <c:pt idx="2">
                <c:v>122</c:v>
              </c:pt>
              <c:pt idx="3">
                <c:v>128</c:v>
              </c:pt>
              <c:pt idx="4">
                <c:v>135</c:v>
              </c:pt>
              <c:pt idx="5">
                <c:v>135</c:v>
              </c:pt>
              <c:pt idx="6">
                <c:v>147</c:v>
              </c:pt>
              <c:pt idx="7">
                <c:v>129</c:v>
              </c:pt>
              <c:pt idx="8">
                <c:v>131</c:v>
              </c:pt>
              <c:pt idx="9">
                <c:v>129</c:v>
              </c:pt>
              <c:pt idx="10">
                <c:v>0</c:v>
              </c:pt>
              <c:pt idx="11">
                <c:v>140</c:v>
              </c:pt>
              <c:pt idx="12">
                <c:v>125</c:v>
              </c:pt>
              <c:pt idx="13">
                <c:v>120</c:v>
              </c:pt>
              <c:pt idx="14">
                <c:v>101</c:v>
              </c:pt>
              <c:pt idx="15">
                <c:v>115</c:v>
              </c:pt>
              <c:pt idx="16">
                <c:v>126</c:v>
              </c:pt>
              <c:pt idx="17">
                <c:v>118</c:v>
              </c:pt>
              <c:pt idx="18">
                <c:v>128</c:v>
              </c:pt>
              <c:pt idx="19">
                <c:v>132</c:v>
              </c:pt>
              <c:pt idx="20">
                <c:v>136</c:v>
              </c:pt>
              <c:pt idx="21">
                <c:v>116</c:v>
              </c:pt>
              <c:pt idx="22">
                <c:v>124</c:v>
              </c:pt>
              <c:pt idx="23">
                <c:v>126</c:v>
              </c:pt>
              <c:pt idx="24">
                <c:v>145</c:v>
              </c:pt>
              <c:pt idx="25">
                <c:v>148</c:v>
              </c:pt>
              <c:pt idx="26">
                <c:v>148</c:v>
              </c:pt>
              <c:pt idx="27">
                <c:v>125</c:v>
              </c:pt>
              <c:pt idx="28">
                <c:v>117</c:v>
              </c:pt>
              <c:pt idx="29">
                <c:v>128</c:v>
              </c:pt>
            </c:numLit>
          </c:val>
        </c:ser>
        <c:ser>
          <c:idx val="1"/>
          <c:order val="1"/>
          <c:tx>
            <c:v>Diastolic</c:v>
          </c:tx>
          <c:spPr>
            <a:solidFill>
              <a:srgbClr val="DC2626"/>
            </a:solidFill>
          </c:spPr>
          <c:marker>
            <c:symbol val="none"/>
          </c:marker>
          <c:cat>
            <c:strLit>
              <c:ptCount val="30"/>
              <c:pt idx="0">
                <c:v>2024-02-08
Thu 10:50</c:v>
              </c:pt>
              <c:pt idx="1">
                <c:v>2024-02-09
Fri 10:03</c:v>
              </c:pt>
              <c:pt idx="2">
                <c:v>2024-02-10
Sat 10:19</c:v>
              </c:pt>
              <c:pt idx="3">
                <c:v>2024-02-11
Sun 10:11</c:v>
              </c:pt>
              <c:pt idx="4">
                <c:v>2024-02-12
Mon 10:18</c:v>
              </c:pt>
              <c:pt idx="5">
                <c:v>2024-02-13
Tue 10:33</c:v>
              </c:pt>
              <c:pt idx="6">
                <c:v>2024-02-14
Wed 10:20</c:v>
              </c:pt>
              <c:pt idx="7">
                <c:v>2024-02-15
Thu 11:22</c:v>
              </c:pt>
              <c:pt idx="8">
                <c:v>2024-02-16
Fri 10:29</c:v>
              </c:pt>
              <c:pt idx="9">
                <c:v>2024-02-17
Sat 10:09</c:v>
              </c:pt>
              <c:pt idx="10">
                <c:v>2024-02-18
Sun</c:v>
              </c:pt>
              <c:pt idx="11">
                <c:v>2024-02-19
Mon 10:12</c:v>
              </c:pt>
              <c:pt idx="12">
                <c:v>2024-02-20
Tue 10:12</c:v>
              </c:pt>
              <c:pt idx="13">
                <c:v>2024-02-21
Wed 11:32</c:v>
              </c:pt>
              <c:pt idx="14">
                <c:v>2024-02-22
Thu 12:00</c:v>
              </c:pt>
              <c:pt idx="15">
                <c:v>2024-02-23
Fri 10:32</c:v>
              </c:pt>
              <c:pt idx="16">
                <c:v>2024-02-24
Sat 10:10</c:v>
              </c:pt>
              <c:pt idx="17">
                <c:v>2024-02-25
Sun 10:38</c:v>
              </c:pt>
              <c:pt idx="18">
                <c:v>2024-02-26
Mon 10:57</c:v>
              </c:pt>
              <c:pt idx="19">
                <c:v>2024-02-27
Tue 10:35</c:v>
              </c:pt>
              <c:pt idx="20">
                <c:v>2024-02-28
Wed 11:31</c:v>
              </c:pt>
              <c:pt idx="21">
                <c:v>2024-02-29
Thu 10:57</c:v>
              </c:pt>
              <c:pt idx="22">
                <c:v>2024-03-01
Fri 11:30</c:v>
              </c:pt>
              <c:pt idx="23">
                <c:v>2024-03-02
Sat 10:32</c:v>
              </c:pt>
              <c:pt idx="24">
                <c:v>2024-03-03
Sun 11:29</c:v>
              </c:pt>
              <c:pt idx="25">
                <c:v>2024-03-04
Mon 10:14</c:v>
              </c:pt>
              <c:pt idx="26">
                <c:v>2024-03-05
Tue 10:57</c:v>
              </c:pt>
              <c:pt idx="27">
                <c:v>2024-03-06
Wed 10:30</c:v>
              </c:pt>
              <c:pt idx="28">
                <c:v>2024-03-07
Thu 8:55</c:v>
              </c:pt>
              <c:pt idx="29">
                <c:v>2024-03-08
Fri 10:57</c:v>
              </c:pt>
            </c:strLit>
          </c:cat>
          <c:val>
            <c:numLit>
              <c:formatCode>0</c:formatCode>
              <c:ptCount val="30"/>
              <c:pt idx="0">
                <c:v>81</c:v>
              </c:pt>
              <c:pt idx="1">
                <c:v>79</c:v>
              </c:pt>
              <c:pt idx="2">
                <c:v>77</c:v>
              </c:pt>
              <c:pt idx="3">
                <c:v>80</c:v>
              </c:pt>
              <c:pt idx="4">
                <c:v>74</c:v>
              </c:pt>
              <c:pt idx="5">
                <c:v>72</c:v>
              </c:pt>
              <c:pt idx="6">
                <c:v>76</c:v>
              </c:pt>
              <c:pt idx="7">
                <c:v>77</c:v>
              </c:pt>
              <c:pt idx="8">
                <c:v>78</c:v>
              </c:pt>
              <c:pt idx="9">
                <c:v>80</c:v>
              </c:pt>
              <c:pt idx="10">
                <c:v>0</c:v>
              </c:pt>
              <c:pt idx="11">
                <c:v>81</c:v>
              </c:pt>
              <c:pt idx="12">
                <c:v>81</c:v>
              </c:pt>
              <c:pt idx="13">
                <c:v>75</c:v>
              </c:pt>
              <c:pt idx="14">
                <c:v>78</c:v>
              </c:pt>
              <c:pt idx="15">
                <c:v>73</c:v>
              </c:pt>
              <c:pt idx="16">
                <c:v>76</c:v>
              </c:pt>
              <c:pt idx="17">
                <c:v>74</c:v>
              </c:pt>
              <c:pt idx="18">
                <c:v>81</c:v>
              </c:pt>
              <c:pt idx="19">
                <c:v>75</c:v>
              </c:pt>
              <c:pt idx="20">
                <c:v>84</c:v>
              </c:pt>
              <c:pt idx="21">
                <c:v>74</c:v>
              </c:pt>
              <c:pt idx="22">
                <c:v>71</c:v>
              </c:pt>
              <c:pt idx="23">
                <c:v>79</c:v>
              </c:pt>
              <c:pt idx="24">
                <c:v>88</c:v>
              </c:pt>
              <c:pt idx="25">
                <c:v>81</c:v>
              </c:pt>
              <c:pt idx="26">
                <c:v>83</c:v>
              </c:pt>
              <c:pt idx="27">
                <c:v>75</c:v>
              </c:pt>
              <c:pt idx="28">
                <c:v>79</c:v>
              </c:pt>
              <c:pt idx="29">
                <c:v>80</c:v>
              </c:pt>
            </c:numLit>
          </c:val>
        </c:ser>
        <c:ser>
          <c:idx val="2"/>
          <c:order val="2"/>
          <c:tx>
            <c:v>Pulse</c:v>
          </c:tx>
          <c:spPr>
            <a:solidFill>
              <a:srgbClr val="059669"/>
            </a:solidFill>
          </c:spPr>
          <c:marker>
            <c:symbol val="none"/>
          </c:marker>
          <c:cat>
            <c:strLit>
              <c:ptCount val="30"/>
              <c:pt idx="0">
                <c:v>2024-02-08
Thu 10:50</c:v>
              </c:pt>
              <c:pt idx="1">
                <c:v>2024-02-09
Fri 10:03</c:v>
              </c:pt>
              <c:pt idx="2">
                <c:v>2024-02-10
Sat 10:19</c:v>
              </c:pt>
              <c:pt idx="3">
                <c:v>2024-02-11
Sun 10:11</c:v>
              </c:pt>
              <c:pt idx="4">
                <c:v>2024-02-12
Mon 10:18</c:v>
              </c:pt>
              <c:pt idx="5">
                <c:v>2024-02-13
Tue 10:33</c:v>
              </c:pt>
              <c:pt idx="6">
                <c:v>2024-02-14
Wed 10:20</c:v>
              </c:pt>
              <c:pt idx="7">
                <c:v>2024-02-15
Thu 11:22</c:v>
              </c:pt>
              <c:pt idx="8">
                <c:v>2024-02-16
Fri 10:29</c:v>
              </c:pt>
              <c:pt idx="9">
                <c:v>2024-02-17
Sat 10:09</c:v>
              </c:pt>
              <c:pt idx="10">
                <c:v>2024-02-18
Sun</c:v>
              </c:pt>
              <c:pt idx="11">
                <c:v>2024-02-19
Mon 10:12</c:v>
              </c:pt>
              <c:pt idx="12">
                <c:v>2024-02-20
Tue 10:12</c:v>
              </c:pt>
              <c:pt idx="13">
                <c:v>2024-02-21
Wed 11:32</c:v>
              </c:pt>
              <c:pt idx="14">
                <c:v>2024-02-22
Thu 12:00</c:v>
              </c:pt>
              <c:pt idx="15">
                <c:v>2024-02-23
Fri 10:32</c:v>
              </c:pt>
              <c:pt idx="16">
                <c:v>2024-02-24
Sat 10:10</c:v>
              </c:pt>
              <c:pt idx="17">
                <c:v>2024-02-25
Sun 10:38</c:v>
              </c:pt>
              <c:pt idx="18">
                <c:v>2024-02-26
Mon 10:57</c:v>
              </c:pt>
              <c:pt idx="19">
                <c:v>2024-02-27
Tue 10:35</c:v>
              </c:pt>
              <c:pt idx="20">
                <c:v>2024-02-28
Wed 11:31</c:v>
              </c:pt>
              <c:pt idx="21">
                <c:v>2024-02-29
Thu 10:57</c:v>
              </c:pt>
              <c:pt idx="22">
                <c:v>2024-03-01
Fri 11:30</c:v>
              </c:pt>
              <c:pt idx="23">
                <c:v>2024-03-02
Sat 10:32</c:v>
              </c:pt>
              <c:pt idx="24">
                <c:v>2024-03-03
Sun 11:29</c:v>
              </c:pt>
              <c:pt idx="25">
                <c:v>2024-03-04
Mon 10:14</c:v>
              </c:pt>
              <c:pt idx="26">
                <c:v>2024-03-05
Tue 10:57</c:v>
              </c:pt>
              <c:pt idx="27">
                <c:v>2024-03-06
Wed 10:30</c:v>
              </c:pt>
              <c:pt idx="28">
                <c:v>2024-03-07
Thu 8:55</c:v>
              </c:pt>
              <c:pt idx="29">
                <c:v>2024-03-08
Fri 10:57</c:v>
              </c:pt>
            </c:strLit>
          </c:cat>
          <c:val>
            <c:numLit>
              <c:formatCode>0</c:formatCode>
              <c:ptCount val="30"/>
              <c:pt idx="0">
                <c:v>57</c:v>
              </c:pt>
              <c:pt idx="1">
                <c:v>59</c:v>
              </c:pt>
              <c:pt idx="2">
                <c:v>62</c:v>
              </c:pt>
              <c:pt idx="3">
                <c:v>56</c:v>
              </c:pt>
              <c:pt idx="4">
                <c:v>59</c:v>
              </c:pt>
              <c:pt idx="5">
                <c:v>63</c:v>
              </c:pt>
              <c:pt idx="6">
                <c:v>66</c:v>
              </c:pt>
              <c:pt idx="7">
                <c:v>56</c:v>
              </c:pt>
              <c:pt idx="8">
                <c:v>60</c:v>
              </c:pt>
              <c:pt idx="9">
                <c:v>56</c:v>
              </c:pt>
              <c:pt idx="10">
                <c:v>0</c:v>
              </c:pt>
              <c:pt idx="11">
                <c:v>56</c:v>
              </c:pt>
              <c:pt idx="12">
                <c:v>64</c:v>
              </c:pt>
              <c:pt idx="13">
                <c:v>62</c:v>
              </c:pt>
              <c:pt idx="14">
                <c:v>67</c:v>
              </c:pt>
              <c:pt idx="15">
                <c:v>63</c:v>
              </c:pt>
              <c:pt idx="16">
                <c:v>60</c:v>
              </c:pt>
              <c:pt idx="17">
                <c:v>62</c:v>
              </c:pt>
              <c:pt idx="18">
                <c:v>64</c:v>
              </c:pt>
              <c:pt idx="19">
                <c:v>63</c:v>
              </c:pt>
              <c:pt idx="20">
                <c:v>63</c:v>
              </c:pt>
              <c:pt idx="21">
                <c:v>68</c:v>
              </c:pt>
              <c:pt idx="22">
                <c:v>63</c:v>
              </c:pt>
              <c:pt idx="23">
                <c:v>65</c:v>
              </c:pt>
              <c:pt idx="24">
                <c:v>60</c:v>
              </c:pt>
              <c:pt idx="25">
                <c:v>60</c:v>
              </c:pt>
              <c:pt idx="26">
                <c:v>62</c:v>
              </c:pt>
              <c:pt idx="27">
                <c:v>59</c:v>
              </c:pt>
              <c:pt idx="28">
                <c:v>64</c:v>
              </c:pt>
              <c:pt idx="29">
                <c:v>67</c:v>
              </c:pt>
            </c:numLit>
          </c:val>
        </c:ser>
        <c:ser>
          <c:idx val="3"/>
          <c:order val="3"/>
          <c:tx>
            <c:v>Sugar</c:v>
          </c:tx>
          <c:spPr>
            <a:solidFill>
              <a:srgbClr val="F59E0B"/>
            </a:solidFill>
          </c:spPr>
          <c:marker>
            <c:symbol val="none"/>
          </c:marker>
          <c:cat>
            <c:strLit>
              <c:ptCount val="30"/>
              <c:pt idx="0">
                <c:v>2024-02-08
Thu 10:50</c:v>
              </c:pt>
              <c:pt idx="1">
                <c:v>2024-02-09
Fri 10:03</c:v>
              </c:pt>
              <c:pt idx="2">
                <c:v>2024-02-10
Sat 10:19</c:v>
              </c:pt>
              <c:pt idx="3">
                <c:v>2024-02-11
Sun 10:11</c:v>
              </c:pt>
              <c:pt idx="4">
                <c:v>2024-02-12
Mon 10:18</c:v>
              </c:pt>
              <c:pt idx="5">
                <c:v>2024-02-13
Tue 10:33</c:v>
              </c:pt>
              <c:pt idx="6">
                <c:v>2024-02-14
Wed 10:20</c:v>
              </c:pt>
              <c:pt idx="7">
                <c:v>2024-02-15
Thu 11:22</c:v>
              </c:pt>
              <c:pt idx="8">
                <c:v>2024-02-16
Fri 10:29</c:v>
              </c:pt>
              <c:pt idx="9">
                <c:v>2024-02-17
Sat 10:09</c:v>
              </c:pt>
              <c:pt idx="10">
                <c:v>2024-02-18
Sun</c:v>
              </c:pt>
              <c:pt idx="11">
                <c:v>2024-02-19
Mon 10:12</c:v>
              </c:pt>
              <c:pt idx="12">
                <c:v>2024-02-20
Tue 10:12</c:v>
              </c:pt>
              <c:pt idx="13">
                <c:v>2024-02-21
Wed 11:32</c:v>
              </c:pt>
              <c:pt idx="14">
                <c:v>2024-02-22
Thu 12:00</c:v>
              </c:pt>
              <c:pt idx="15">
                <c:v>2024-02-23
Fri 10:32</c:v>
              </c:pt>
              <c:pt idx="16">
                <c:v>2024-02-24
Sat 10:10</c:v>
              </c:pt>
              <c:pt idx="17">
                <c:v>2024-02-25
Sun 10:38</c:v>
              </c:pt>
              <c:pt idx="18">
                <c:v>2024-02-26
Mon 10:57</c:v>
              </c:pt>
              <c:pt idx="19">
                <c:v>2024-02-27
Tue 10:35</c:v>
              </c:pt>
              <c:pt idx="20">
                <c:v>2024-02-28
Wed 11:31</c:v>
              </c:pt>
              <c:pt idx="21">
                <c:v>2024-02-29
Thu 10:57</c:v>
              </c:pt>
              <c:pt idx="22">
                <c:v>2024-03-01
Fri 11:30</c:v>
              </c:pt>
              <c:pt idx="23">
                <c:v>2024-03-02
Sat 10:32</c:v>
              </c:pt>
              <c:pt idx="24">
                <c:v>2024-03-03
Sun 11:29</c:v>
              </c:pt>
              <c:pt idx="25">
                <c:v>2024-03-04
Mon 10:14</c:v>
              </c:pt>
              <c:pt idx="26">
                <c:v>2024-03-05
Tue 10:57</c:v>
              </c:pt>
              <c:pt idx="27">
                <c:v>2024-03-06
Wed 10:30</c:v>
              </c:pt>
              <c:pt idx="28">
                <c:v>2024-03-07
Thu 8:55</c:v>
              </c:pt>
              <c:pt idx="29">
                <c:v>2024-03-08
Fri 10:57</c:v>
              </c:pt>
            </c:strLit>
          </c:cat>
          <c:val>
            <c:numLit>
              <c:formatCode>0</c:formatCode>
              <c:ptCount val="30"/>
              <c:pt idx="0">
                <c:v>174</c:v>
              </c:pt>
              <c:pt idx="1">
                <c:v>175</c:v>
              </c:pt>
              <c:pt idx="2">
                <c:v>166</c:v>
              </c:pt>
              <c:pt idx="3">
                <c:v>172</c:v>
              </c:pt>
              <c:pt idx="4">
                <c:v>180</c:v>
              </c:pt>
              <c:pt idx="5">
                <c:v>180</c:v>
              </c:pt>
              <c:pt idx="6">
                <c:v>189</c:v>
              </c:pt>
              <c:pt idx="7">
                <c:v>160</c:v>
              </c:pt>
              <c:pt idx="8">
                <c:v>225</c:v>
              </c:pt>
              <c:pt idx="9">
                <c:v>185</c:v>
              </c:pt>
              <c:pt idx="10">
                <c:v>0</c:v>
              </c:pt>
              <c:pt idx="11">
                <c:v>174</c:v>
              </c:pt>
              <c:pt idx="12">
                <c:v>192</c:v>
              </c:pt>
              <c:pt idx="13">
                <c:v>169</c:v>
              </c:pt>
              <c:pt idx="14">
                <c:v>148</c:v>
              </c:pt>
              <c:pt idx="15">
                <c:v>167</c:v>
              </c:pt>
              <c:pt idx="16">
                <c:v>195</c:v>
              </c:pt>
              <c:pt idx="17">
                <c:v>170</c:v>
              </c:pt>
              <c:pt idx="18">
                <c:v>195</c:v>
              </c:pt>
              <c:pt idx="19">
                <c:v>157</c:v>
              </c:pt>
              <c:pt idx="20">
                <c:v>200</c:v>
              </c:pt>
              <c:pt idx="21">
                <c:v>176</c:v>
              </c:pt>
              <c:pt idx="22">
                <c:v>162</c:v>
              </c:pt>
              <c:pt idx="23">
                <c:v>191</c:v>
              </c:pt>
              <c:pt idx="24">
                <c:v>235</c:v>
              </c:pt>
              <c:pt idx="25">
                <c:v>132</c:v>
              </c:pt>
              <c:pt idx="26">
                <c:v>183</c:v>
              </c:pt>
              <c:pt idx="27">
                <c:v>176</c:v>
              </c:pt>
              <c:pt idx="28">
                <c:v>185</c:v>
              </c:pt>
              <c:pt idx="29">
                <c:v>168</c:v>
              </c:pt>
            </c:numLit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2"/>
        <c:txPr>
          <a:bodyPr anchorCtr="1"/>
          <a:lstStyle/>
          <a:p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250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Measurement value</a:t>
                </a:r>
              </a:p>
            </c:rich>
          </c:tx>
        </c:title>
        <c:numFmt formatCode="0"/>
        <c:majorTickMark val="none"/>
        <c:minorTickMark val="none"/>
        <c:crossAx val="48650112"/>
        <c:crossBetween val="between"/>
        <c:majorUnit val="50"/>
      </c:valAx>
    </c:plotArea>
    <c:legend>
      <c:legendPos val="b"/>
      <c:overlay val="0"/>
    </c:legend>
    <c:plotVisOnly val="1"/>
  </c:chart>
  <c:spPr>
    <a:ln w="9525">
      <a:solidFill>
        <a:srgbClr val="D9D9D9"/>
      </a:solidFill>
      <a:prstDash val="solid"/>
    </a:ln>
  </c:spPr>
  <c:dispBlanksAs val="gap"/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1</xdr:row>
      <xdr:rowOff>0</xdr:rowOff>
    </xdr:from>
    <xdr:to>
      <xdr:col>31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61b78423d5b4ee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ae053caf52284f6b" /></Relationships>
</file>

<file path=xl/worksheets/sheet1.xml><?xml version="1.0" encoding="utf-8"?>
<x:worksheet xmlns:x="http://schemas.openxmlformats.org/spreadsheetml/2006/main">
  <x:sheetFormatPr baseColWidth="10" defaultColWidth="8.83203125" defaultRowHeight="16"/>
  <x:cols>
    <x:col min="1" max="1" width="11.5" customWidth="1"/>
  </x:cols>
  <x:sheetData>
    <x:row r="1">
      <x:c r="A1" s="21">
        <x:v>45323</x:v>
      </x:c>
      <x:c r="B1" s="21"/>
      <x:c r="C1" s="21"/>
      <x:c r="D1" s="21"/>
      <x:c r="E1" s="21"/>
      <x:c r="F1" s="21"/>
      <x:c r="G1" s="21"/>
    </x:row>
    <x:row r="2">
      <x:c r="A2" s="1" t="s">
        <x:v>0</x:v>
      </x:c>
      <x:c r="B2" s="1" t="s">
        <x:v>1</x:v>
      </x:c>
      <x:c r="C2" s="2" t="s">
        <x:v>2</x:v>
      </x:c>
      <x:c r="D2" s="20" t="s">
        <x:v>3</x:v>
      </x:c>
      <x:c r="E2" s="20" t="s">
        <x:v>4</x:v>
      </x:c>
      <x:c r="F2" s="20" t="s">
        <x:v>5</x:v>
      </x:c>
      <x:c r="G2" s="20" t="s">
        <x:v>6</x:v>
      </x:c>
    </x:row>
    <x:row r="3">
      <x:c r="A3" s="4">
        <x:v>45323</x:v>
      </x:c>
      <x:c r="B3" s="1" t="str">
        <x:f>TEXT(A3,"DDD")</x:f>
        <x:v>Thu</x:v>
      </x:c>
      <x:c r="C3" s="2">
        <x:v>0.43958333333333338</x:v>
      </x:c>
      <x:c r="D3" s="3">
        <x:v>130</x:v>
      </x:c>
      <x:c r="E3" s="3">
        <x:v>88</x:v>
      </x:c>
      <x:c r="F3" s="3">
        <x:v>62</x:v>
      </x:c>
      <x:c r="G3" s="5">
        <x:v>173</x:v>
      </x:c>
    </x:row>
    <x:row r="4">
      <x:c r="A4" s="4">
        <x:v>45324</x:v>
      </x:c>
      <x:c r="B4" s="1" t="str">
        <x:f t="shared" ref="B4:B31" si="0">TEXT(A4,"DDD")</x:f>
        <x:v>Fri</x:v>
      </x:c>
      <x:c r="C4" s="2">
        <x:v>0.44930555555555557</x:v>
      </x:c>
      <x:c r="D4" s="3">
        <x:v>136</x:v>
      </x:c>
      <x:c r="E4" s="3">
        <x:v>80</x:v>
      </x:c>
      <x:c r="F4" s="3">
        <x:v>60</x:v>
      </x:c>
      <x:c r="G4" s="5">
        <x:v>203</x:v>
      </x:c>
    </x:row>
    <x:row r="5">
      <x:c r="A5" s="4">
        <x:v>45325</x:v>
      </x:c>
      <x:c r="B5" s="1" t="str">
        <x:f t="shared" si="0"/>
        <x:v>Sat</x:v>
      </x:c>
      <x:c r="C5" s="2">
        <x:v>0.42291666666666666</x:v>
      </x:c>
      <x:c r="D5" s="3">
        <x:v>144</x:v>
      </x:c>
      <x:c r="E5" s="3">
        <x:v>72</x:v>
      </x:c>
      <x:c r="F5" s="3">
        <x:v>58</x:v>
      </x:c>
      <x:c r="G5" s="5">
        <x:v>216</x:v>
      </x:c>
    </x:row>
    <x:row r="6">
      <x:c r="A6" s="4">
        <x:v>45326</x:v>
      </x:c>
      <x:c r="B6" s="1" t="str">
        <x:f t="shared" si="0"/>
        <x:v>Sun</x:v>
      </x:c>
      <x:c r="C6" s="2">
        <x:v>0.42430555555555555</x:v>
      </x:c>
      <x:c r="D6" s="3">
        <x:v>131</x:v>
      </x:c>
      <x:c r="E6" s="3">
        <x:v>76</x:v>
      </x:c>
      <x:c r="F6" s="3">
        <x:v>65</x:v>
      </x:c>
      <x:c r="G6" s="5">
        <x:v>163</x:v>
      </x:c>
    </x:row>
    <x:row r="7">
      <x:c r="A7" s="4">
        <x:v>45327</x:v>
      </x:c>
      <x:c r="B7" s="1" t="str">
        <x:f t="shared" si="0"/>
        <x:v>Mon</x:v>
      </x:c>
      <x:c r="C7" s="2">
        <x:v>0.42708333333333331</x:v>
      </x:c>
      <x:c r="D7" s="3">
        <x:v>128</x:v>
      </x:c>
      <x:c r="E7" s="3">
        <x:v>72</x:v>
      </x:c>
      <x:c r="F7" s="3">
        <x:v>61</x:v>
      </x:c>
      <x:c r="G7" s="5">
        <x:v>155</x:v>
      </x:c>
    </x:row>
    <x:row r="8">
      <x:c r="A8" s="4">
        <x:v>45328</x:v>
      </x:c>
      <x:c r="B8" s="1" t="str">
        <x:f t="shared" si="0"/>
        <x:v>Tue</x:v>
      </x:c>
      <x:c r="C8" s="2">
        <x:v>0.42708333333333331</x:v>
      </x:c>
      <x:c r="D8" s="3">
        <x:v>130</x:v>
      </x:c>
      <x:c r="E8" s="3">
        <x:v>76</x:v>
      </x:c>
      <x:c r="F8" s="3">
        <x:v>60</x:v>
      </x:c>
      <x:c r="G8" s="5">
        <x:v>178</x:v>
      </x:c>
    </x:row>
    <x:row r="9">
      <x:c r="A9" s="4">
        <x:v>45329</x:v>
      </x:c>
      <x:c r="B9" s="1" t="str">
        <x:f t="shared" si="0"/>
        <x:v>Wed</x:v>
      </x:c>
      <x:c r="C9" s="2">
        <x:v>0.4513888888888889</x:v>
      </x:c>
      <x:c r="D9" s="3">
        <x:v>126</x:v>
      </x:c>
      <x:c r="E9" s="3">
        <x:v>78</x:v>
      </x:c>
      <x:c r="F9" s="3">
        <x:v>59</x:v>
      </x:c>
      <x:c r="G9" s="5">
        <x:v>181</x:v>
      </x:c>
    </x:row>
    <x:row r="10">
      <x:c r="A10" s="4">
        <x:v>45330</x:v>
      </x:c>
      <x:c r="B10" s="1" t="str">
        <x:f t="shared" si="0"/>
        <x:v>Thu</x:v>
      </x:c>
      <x:c r="C10" s="2">
        <x:v>0.4513888888888889</x:v>
      </x:c>
      <x:c r="D10" s="3">
        <x:v>143</x:v>
      </x:c>
      <x:c r="E10" s="3">
        <x:v>81</x:v>
      </x:c>
      <x:c r="F10" s="3">
        <x:v>57</x:v>
      </x:c>
      <x:c r="G10" s="5">
        <x:v>174</x:v>
      </x:c>
    </x:row>
    <x:row r="11">
      <x:c r="A11" s="4">
        <x:v>45331</x:v>
      </x:c>
      <x:c r="B11" s="1" t="str">
        <x:f t="shared" si="0"/>
        <x:v>Fri</x:v>
      </x:c>
      <x:c r="C11" s="2">
        <x:v>0.41875000000000001</x:v>
      </x:c>
      <x:c r="D11" s="3">
        <x:v>128</x:v>
      </x:c>
      <x:c r="E11" s="3">
        <x:v>79</x:v>
      </x:c>
      <x:c r="F11" s="3">
        <x:v>59</x:v>
      </x:c>
      <x:c r="G11" s="5">
        <x:v>175</x:v>
      </x:c>
    </x:row>
    <x:row r="12">
      <x:c r="A12" s="4">
        <x:v>45332</x:v>
      </x:c>
      <x:c r="B12" s="1" t="str">
        <x:f t="shared" si="0"/>
        <x:v>Sat</x:v>
      </x:c>
      <x:c r="C12" s="2">
        <x:v>0.42986111111111108</x:v>
      </x:c>
      <x:c r="D12" s="3">
        <x:v>122</x:v>
      </x:c>
      <x:c r="E12" s="3">
        <x:v>77</x:v>
      </x:c>
      <x:c r="F12" s="3">
        <x:v>62</x:v>
      </x:c>
      <x:c r="G12" s="5">
        <x:v>166</x:v>
      </x:c>
    </x:row>
    <x:row r="13">
      <x:c r="A13" s="4">
        <x:v>45333</x:v>
      </x:c>
      <x:c r="B13" s="1" t="str">
        <x:f t="shared" si="0"/>
        <x:v>Sun</x:v>
      </x:c>
      <x:c r="C13" s="2">
        <x:v>0.42430555555555555</x:v>
      </x:c>
      <x:c r="D13" s="3">
        <x:v>128</x:v>
      </x:c>
      <x:c r="E13" s="3">
        <x:v>80</x:v>
      </x:c>
      <x:c r="F13" s="3">
        <x:v>56</x:v>
      </x:c>
      <x:c r="G13" s="5">
        <x:v>172</x:v>
      </x:c>
    </x:row>
    <x:row r="14">
      <x:c r="A14" s="4">
        <x:v>45334</x:v>
      </x:c>
      <x:c r="B14" s="1" t="str">
        <x:f t="shared" si="0"/>
        <x:v>Mon</x:v>
      </x:c>
      <x:c r="C14" s="2">
        <x:v>0.4291666666666667</x:v>
      </x:c>
      <x:c r="D14" s="3">
        <x:v>135</x:v>
      </x:c>
      <x:c r="E14" s="3">
        <x:v>74</x:v>
      </x:c>
      <x:c r="F14" s="3">
        <x:v>59</x:v>
      </x:c>
      <x:c r="G14" s="5">
        <x:v>180</x:v>
      </x:c>
    </x:row>
    <x:row r="15">
      <x:c r="A15" s="4">
        <x:v>45335</x:v>
      </x:c>
      <x:c r="B15" s="1" t="str">
        <x:f t="shared" si="0"/>
        <x:v>Tue</x:v>
      </x:c>
      <x:c r="C15" s="2">
        <x:v>0.43958333333333338</x:v>
      </x:c>
      <x:c r="D15" s="3">
        <x:v>135</x:v>
      </x:c>
      <x:c r="E15" s="3">
        <x:v>72</x:v>
      </x:c>
      <x:c r="F15" s="3">
        <x:v>63</x:v>
      </x:c>
      <x:c r="G15" s="5">
        <x:v>180</x:v>
      </x:c>
    </x:row>
    <x:row r="16">
      <x:c r="A16" s="4">
        <x:v>45336</x:v>
      </x:c>
      <x:c r="B16" s="1" t="str">
        <x:f t="shared" si="0"/>
        <x:v>Wed</x:v>
      </x:c>
      <x:c r="C16" s="2">
        <x:v>0.43055555555555558</x:v>
      </x:c>
      <x:c r="D16" s="3">
        <x:v>147</x:v>
      </x:c>
      <x:c r="E16" s="3">
        <x:v>76</x:v>
      </x:c>
      <x:c r="F16" s="3">
        <x:v>66</x:v>
      </x:c>
      <x:c r="G16" s="5">
        <x:v>189</x:v>
      </x:c>
    </x:row>
    <x:row r="17">
      <x:c r="A17" s="4">
        <x:v>45337</x:v>
      </x:c>
      <x:c r="B17" s="1" t="str">
        <x:f t="shared" si="0"/>
        <x:v>Thu</x:v>
      </x:c>
      <x:c r="C17" s="2">
        <x:v>0.47361111111111115</x:v>
      </x:c>
      <x:c r="D17" s="3">
        <x:v>129</x:v>
      </x:c>
      <x:c r="E17" s="3">
        <x:v>77</x:v>
      </x:c>
      <x:c r="F17" s="3">
        <x:v>56</x:v>
      </x:c>
      <x:c r="G17" s="5">
        <x:v>160</x:v>
      </x:c>
    </x:row>
    <x:row r="18">
      <x:c r="A18" s="4">
        <x:v>45338</x:v>
      </x:c>
      <x:c r="B18" s="1" t="str">
        <x:f t="shared" si="0"/>
        <x:v>Fri</x:v>
      </x:c>
      <x:c r="C18" s="2">
        <x:v>0.4368055555555555</x:v>
      </x:c>
      <x:c r="D18" s="3">
        <x:v>131</x:v>
      </x:c>
      <x:c r="E18" s="3">
        <x:v>78</x:v>
      </x:c>
      <x:c r="F18" s="3">
        <x:v>60</x:v>
      </x:c>
      <x:c r="G18" s="5">
        <x:v>225</x:v>
      </x:c>
    </x:row>
    <x:row r="19">
      <x:c r="A19" s="4">
        <x:v>45339</x:v>
      </x:c>
      <x:c r="B19" s="1" t="str">
        <x:f t="shared" si="0"/>
        <x:v>Sat</x:v>
      </x:c>
      <x:c r="C19" s="2">
        <x:v>0.42291666666666666</x:v>
      </x:c>
      <x:c r="D19" s="3">
        <x:v>129</x:v>
      </x:c>
      <x:c r="E19" s="3">
        <x:v>80</x:v>
      </x:c>
      <x:c r="F19" s="3">
        <x:v>56</x:v>
      </x:c>
      <x:c r="G19" s="5">
        <x:v>185</x:v>
      </x:c>
    </x:row>
    <x:row r="20">
      <x:c r="A20" s="4">
        <x:v>45340</x:v>
      </x:c>
      <x:c r="B20" s="1" t="str">
        <x:f t="shared" si="0"/>
        <x:v>Sun</x:v>
      </x:c>
      <x:c r="C20" s="2"/>
      <x:c r="D20" s="3"/>
      <x:c r="E20" s="3"/>
      <x:c r="F20" s="3"/>
      <x:c r="G20" s="5"/>
    </x:row>
    <x:row r="21">
      <x:c r="A21" s="4">
        <x:v>45341</x:v>
      </x:c>
      <x:c r="B21" s="1" t="str">
        <x:f t="shared" si="0"/>
        <x:v>Mon</x:v>
      </x:c>
      <x:c r="C21" s="2">
        <x:v>0.42499999999999999</x:v>
      </x:c>
      <x:c r="D21" s="3">
        <x:v>140</x:v>
      </x:c>
      <x:c r="E21" s="3">
        <x:v>81</x:v>
      </x:c>
      <x:c r="F21" s="3">
        <x:v>56</x:v>
      </x:c>
      <x:c r="G21" s="5">
        <x:v>174</x:v>
      </x:c>
    </x:row>
    <x:row r="22">
      <x:c r="A22" s="4">
        <x:v>45342</x:v>
      </x:c>
      <x:c r="B22" s="1" t="str">
        <x:f t="shared" si="0"/>
        <x:v>Tue</x:v>
      </x:c>
      <x:c r="C22" s="2">
        <x:v>0.42499999999999999</x:v>
      </x:c>
      <x:c r="D22" s="3">
        <x:v>125</x:v>
      </x:c>
      <x:c r="E22" s="3">
        <x:v>81</x:v>
      </x:c>
      <x:c r="F22" s="3">
        <x:v>64</x:v>
      </x:c>
      <x:c r="G22" s="5">
        <x:v>192</x:v>
      </x:c>
    </x:row>
    <x:row r="23">
      <x:c r="A23" s="4">
        <x:v>45343</x:v>
      </x:c>
      <x:c r="B23" s="1" t="str">
        <x:f t="shared" si="0"/>
        <x:v>Wed</x:v>
      </x:c>
      <x:c r="C23" s="2">
        <x:v>0.48055555555555557</x:v>
      </x:c>
      <x:c r="D23" s="3">
        <x:v>120</x:v>
      </x:c>
      <x:c r="E23" s="3">
        <x:v>75</x:v>
      </x:c>
      <x:c r="F23" s="3">
        <x:v>62</x:v>
      </x:c>
      <x:c r="G23" s="5">
        <x:v>169</x:v>
      </x:c>
    </x:row>
    <x:row r="24">
      <x:c r="A24" s="4">
        <x:v>45344</x:v>
      </x:c>
      <x:c r="B24" s="1" t="str">
        <x:f t="shared" si="0"/>
        <x:v>Thu</x:v>
      </x:c>
      <x:c r="C24" s="2">
        <x:v>0.5</x:v>
      </x:c>
      <x:c r="D24" s="3">
        <x:v>101</x:v>
      </x:c>
      <x:c r="E24" s="3">
        <x:v>78</x:v>
      </x:c>
      <x:c r="F24" s="3">
        <x:v>67</x:v>
      </x:c>
      <x:c r="G24" s="5">
        <x:v>148</x:v>
      </x:c>
    </x:row>
    <x:row r="25">
      <x:c r="A25" s="4">
        <x:v>45345</x:v>
      </x:c>
      <x:c r="B25" s="1" t="str">
        <x:f t="shared" si="0"/>
        <x:v>Fri</x:v>
      </x:c>
      <x:c r="C25" s="2">
        <x:v>0.43888888888888888</x:v>
      </x:c>
      <x:c r="D25" s="3">
        <x:v>115</x:v>
      </x:c>
      <x:c r="E25" s="3">
        <x:v>73</x:v>
      </x:c>
      <x:c r="F25" s="3">
        <x:v>63</x:v>
      </x:c>
      <x:c r="G25" s="5">
        <x:v>167</x:v>
      </x:c>
    </x:row>
    <x:row r="26">
      <x:c r="A26" s="4">
        <x:v>45346</x:v>
      </x:c>
      <x:c r="B26" s="1" t="str">
        <x:f t="shared" si="0"/>
        <x:v>Sat</x:v>
      </x:c>
      <x:c r="C26" s="2">
        <x:v>0.4236111111111111</x:v>
      </x:c>
      <x:c r="D26" s="3">
        <x:v>126</x:v>
      </x:c>
      <x:c r="E26" s="3">
        <x:v>76</x:v>
      </x:c>
      <x:c r="F26" s="3">
        <x:v>60</x:v>
      </x:c>
      <x:c r="G26" s="5">
        <x:v>195</x:v>
      </x:c>
    </x:row>
    <x:row r="27">
      <x:c r="A27" s="4">
        <x:v>45347</x:v>
      </x:c>
      <x:c r="B27" s="1" t="str">
        <x:f t="shared" si="0"/>
        <x:v>Sun</x:v>
      </x:c>
      <x:c r="C27" s="2">
        <x:v>0.44305555555555554</x:v>
      </x:c>
      <x:c r="D27" s="3">
        <x:v>118</x:v>
      </x:c>
      <x:c r="E27" s="3">
        <x:v>74</x:v>
      </x:c>
      <x:c r="F27" s="3">
        <x:v>62</x:v>
      </x:c>
      <x:c r="G27" s="5">
        <x:v>170</x:v>
      </x:c>
    </x:row>
    <x:row r="28">
      <x:c r="A28" s="4">
        <x:v>45348</x:v>
      </x:c>
      <x:c r="B28" s="1" t="str">
        <x:f t="shared" si="0"/>
        <x:v>Mon</x:v>
      </x:c>
      <x:c r="C28" s="2">
        <x:v>0.45624999999999999</x:v>
      </x:c>
      <x:c r="D28" s="3">
        <x:v>128</x:v>
      </x:c>
      <x:c r="E28" s="3">
        <x:v>81</x:v>
      </x:c>
      <x:c r="F28" s="3">
        <x:v>64</x:v>
      </x:c>
      <x:c r="G28" s="5">
        <x:v>195</x:v>
      </x:c>
    </x:row>
    <x:row r="29">
      <x:c r="A29" s="4">
        <x:v>45349</x:v>
      </x:c>
      <x:c r="B29" s="1" t="str">
        <x:f t="shared" si="0"/>
        <x:v>Tue</x:v>
      </x:c>
      <x:c r="C29" s="2">
        <x:v>0.44097222222222227</x:v>
      </x:c>
      <x:c r="D29" s="3">
        <x:v>132</x:v>
      </x:c>
      <x:c r="E29" s="3">
        <x:v>75</x:v>
      </x:c>
      <x:c r="F29" s="3">
        <x:v>63</x:v>
      </x:c>
      <x:c r="G29" s="5">
        <x:v>157</x:v>
      </x:c>
    </x:row>
    <x:row r="30">
      <x:c r="A30" s="4">
        <x:v>45350</x:v>
      </x:c>
      <x:c r="B30" s="1" t="str">
        <x:f t="shared" si="0"/>
        <x:v>Wed</x:v>
      </x:c>
      <x:c r="C30" s="2">
        <x:v>0.47986111111111113</x:v>
      </x:c>
      <x:c r="D30" s="3">
        <x:v>136</x:v>
      </x:c>
      <x:c r="E30" s="3">
        <x:v>84</x:v>
      </x:c>
      <x:c r="F30" s="3">
        <x:v>63</x:v>
      </x:c>
      <x:c r="G30" s="5">
        <x:v>200</x:v>
      </x:c>
    </x:row>
    <x:row r="31">
      <x:c r="A31" s="4">
        <x:v>45351</x:v>
      </x:c>
      <x:c r="B31" s="1" t="str">
        <x:f t="shared" si="0"/>
        <x:v>Thu</x:v>
      </x:c>
      <x:c r="C31" s="2">
        <x:v>0.45624999999999999</x:v>
      </x:c>
      <x:c r="D31" s="3">
        <x:v>116</x:v>
      </x:c>
      <x:c r="E31" s="3">
        <x:v>74</x:v>
      </x:c>
      <x:c r="F31" s="3">
        <x:v>68</x:v>
      </x:c>
      <x:c r="G31" s="5">
        <x:v>176</x:v>
      </x:c>
    </x:row>
    <x:row r="32">
      <x:c r="A32" s="4"/>
      <x:c r="B32" s="1"/>
      <x:c r="C32" s="2"/>
      <x:c r="D32" s="3"/>
      <x:c r="E32" s="3"/>
      <x:c r="F32" s="3"/>
    </x:row>
    <x:row r="33">
      <x:c r="A33" s="4" t="s">
        <x:v>7</x:v>
      </x:c>
      <x:c r="B33" s="1"/>
      <x:c r="C33" s="2" t="n" cm="1">
        <x:f t="array" ref="C33">MEDIAN(IF(C3:C31&lt;&gt;0,C3:C31))</x:f>
        <x:v>0.4395833333333334</x:v>
      </x:c>
      <x:c r="D33" s="3" t="n" cm="1">
        <x:f t="array" ref="D33">ROUND(MEDIAN(IF(D3:D31&lt;&gt;0,D3:D31)),0)</x:f>
        <x:v>130</x:v>
      </x:c>
      <x:c r="E33" s="3" t="n" cm="1">
        <x:f t="array" ref="E33">MEDIAN(IF(E3:E31&lt;&gt;0,E3:E31))</x:f>
        <x:v>88</x:v>
      </x:c>
      <x:c r="F33" s="3" t="n" cm="1">
        <x:f t="array" ref="F33">MEDIAN(IF(F3:F31&lt;&gt;0,F3:F31))</x:f>
        <x:v>62</x:v>
      </x:c>
      <x:c r="G33" s="3" t="n" cm="1">
        <x:f t="array" ref="G33">MEDIAN(IF(G3:G31&lt;&gt;0,G3:G31))</x:f>
        <x:v>173</x:v>
      </x:c>
    </x:row>
    <x:row r="34">
      <x:c r="A34" s="4"/>
      <x:c r="B34" s="1"/>
      <x:c r="C34" s="2"/>
      <x:c r="D34" s="3" t="s">
        <x:v>8</x:v>
      </x:c>
      <x:c r="E34" s="3" t="s">
        <x:v>9</x:v>
      </x:c>
      <x:c r="F34" s="3" t="s">
        <x:v>10</x:v>
      </x:c>
      <x:c r="G34" s="3" t="s">
        <x:v>6</x:v>
      </x:c>
    </x:row>
    <x:row r="35">
      <x:c r="A35" s="6" t="s">
        <x:v>11</x:v>
      </x:c>
      <x:c r="B35" s="7"/>
      <x:c r="C35" s="8" t="n">
        <x:f>MAX(C3:C31)</x:f>
        <x:v>0.5</x:v>
      </x:c>
      <x:c r="D35" s="9" t="n">
        <x:f>_xlfn.AGGREGATE(4,6,D3:D31)</x:f>
        <x:v>147</x:v>
      </x:c>
      <x:c r="E35" s="9" t="n">
        <x:f t="shared" ref="E35:G35" si="1">_xlfn.AGGREGATE(4,6,E3:E31)</x:f>
        <x:v>88</x:v>
      </x:c>
      <x:c r="F35" s="9">
        <x:f t="shared" si="1"/>
        <x:v>68</x:v>
      </x:c>
      <x:c r="G35" s="9">
        <x:f t="shared" si="1"/>
        <x:v>225</x:v>
      </x:c>
    </x:row>
    <x:row r="36">
      <x:c r="A36" s="10" t="s">
        <x:v>12</x:v>
      </x:c>
      <x:c r="B36" s="11"/>
      <x:c r="C36" s="12" t="n">
        <x:f>MIN(C4:C32)</x:f>
        <x:v>0.41875</x:v>
      </x:c>
      <x:c r="D36" s="13" t="e">
        <x:f>_xlfn.MINIFS(D1:D31,D1:D31,"&lt;&gt;0")</x:f>
        <x:v>#NUM!</x:v>
      </x:c>
      <x:c r="E36" s="13" t="e">
        <x:f t="shared" ref="E36:G36" si="2">_xlfn.MINIFS(E1:E31,E1:E31,"&lt;&gt;0")</x:f>
        <x:v>#NUM!</x:v>
      </x:c>
      <x:c r="F36" s="13">
        <x:f t="shared" si="2"/>
        <x:v>56</x:v>
      </x:c>
      <x:c r="G36" s="13">
        <x:f t="shared" si="2"/>
        <x:v>148</x:v>
      </x:c>
    </x:row>
    <x:row r="37">
      <x:c r="A37" s="4"/>
      <x:c r="B37" s="1"/>
      <x:c r="C37" s="2"/>
      <x:c r="D37" s="3"/>
      <x:c r="E37" s="3"/>
      <x:c r="F37" s="3"/>
    </x:row>
    <x:row r="38">
      <x:c r="A38" s="22" t="s">
        <x:v>13</x:v>
      </x:c>
      <x:c r="B38" s="23"/>
      <x:c r="C38" s="2"/>
      <x:c r="D38" s="3" t="n">
        <x:f>_xlfn.AGGREGATE(8,6,D1:D31)</x:f>
        <x:v>9.435265480837174</x:v>
      </x:c>
      <x:c r="E38" s="3" t="n">
        <x:f t="shared" ref="E38:G38" si="3">_xlfn.AGGREGATE(8,6,E1:E31)</x:f>
        <x:v>3.7457458863219704</x:v>
      </x:c>
      <x:c r="F38" s="3">
        <x:f t="shared" si="3"/>
        <x:v>3.2986933096334385</x:v>
      </x:c>
      <x:c r="G38" s="3">
        <x:f t="shared" si="3"/>
        <x:v>17.542513956624557</x:v>
      </x:c>
    </x:row>
  </x:sheetData>
  <x:mergeCells>
    <x:mergeCell ref="A1:G1"/>
    <x:mergeCell ref="A38:B38"/>
  </x:mergeCells>
  <x:conditionalFormatting sqref="B3:B31">
    <x:cfRule type="containsText" dxfId="18" priority="1" operator="containsText" text="*s">
      <x:formula>NOT(ISERROR(SEARCH("*s",B3)))</x:formula>
    </x:cfRule>
  </x:conditionalFormatting>
  <x:conditionalFormatting sqref="D3:D32">
    <x:cfRule type="top10" dxfId="17" priority="8" bottom="1" rank="1"/>
    <x:cfRule type="top10" dxfId="16" priority="9" rank="1"/>
  </x:conditionalFormatting>
  <x:conditionalFormatting sqref="E3:E32">
    <x:cfRule type="top10" dxfId="15" priority="2" bottom="1" rank="1"/>
    <x:cfRule type="top10" dxfId="14" priority="3" rank="1"/>
  </x:conditionalFormatting>
  <x:conditionalFormatting sqref="F3:F32">
    <x:cfRule type="top10" dxfId="13" priority="4" bottom="1" rank="1"/>
    <x:cfRule type="top10" dxfId="12" priority="5" rank="1"/>
  </x:conditionalFormatting>
  <x:conditionalFormatting sqref="G3:G32">
    <x:cfRule type="top10" dxfId="11" priority="6" bottom="1" rank="1"/>
    <x:cfRule type="top10" dxfId="10" priority="7" rank="1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6"/>
  <x:cols>
    <x:col min="3" max="3" width="8.5" style="2" customWidth="1"/>
  </x:cols>
  <x:sheetData>
    <x:row r="1">
      <x:c r="A1" s="21">
        <x:v>45352</x:v>
      </x:c>
      <x:c r="B1" s="21"/>
      <x:c r="C1" s="21"/>
      <x:c r="D1" s="21"/>
      <x:c r="E1" s="21"/>
      <x:c r="F1" s="21"/>
      <x:c r="G1" s="21"/>
    </x:row>
    <x:row r="2">
      <x:c r="A2" s="1" t="s">
        <x:v>0</x:v>
      </x:c>
      <x:c r="B2" s="1" t="s">
        <x:v>1</x:v>
      </x:c>
      <x:c r="C2" s="2" t="s">
        <x:v>2</x:v>
      </x:c>
      <x:c r="D2" s="20" t="s">
        <x:v>3</x:v>
      </x:c>
      <x:c r="E2" s="20" t="s">
        <x:v>4</x:v>
      </x:c>
      <x:c r="F2" s="20" t="s">
        <x:v>5</x:v>
      </x:c>
      <x:c r="G2" s="20" t="s">
        <x:v>6</x:v>
      </x:c>
    </x:row>
    <x:row r="3">
      <x:c r="A3" s="4">
        <x:v>45352</x:v>
      </x:c>
      <x:c r="B3" s="1" t="str">
        <x:f>TEXT(A3,"DDD")</x:f>
        <x:v>Fri</x:v>
      </x:c>
      <x:c r="C3" s="2">
        <x:v>0.47916666666666669</x:v>
      </x:c>
      <x:c r="D3" s="3">
        <x:v>124</x:v>
      </x:c>
      <x:c r="E3" s="3">
        <x:v>71</x:v>
      </x:c>
      <x:c r="F3" s="3">
        <x:v>63</x:v>
      </x:c>
      <x:c r="G3" s="5">
        <x:v>162</x:v>
      </x:c>
    </x:row>
    <x:row r="4">
      <x:c r="A4" s="4">
        <x:v>45353</x:v>
      </x:c>
      <x:c r="B4" s="1" t="str">
        <x:f t="shared" ref="B4:B33" si="0">TEXT(A4,"DDD")</x:f>
        <x:v>Sat</x:v>
      </x:c>
      <x:c r="C4" s="2">
        <x:v>0.43888888888888888</x:v>
      </x:c>
      <x:c r="D4" s="3">
        <x:v>126</x:v>
      </x:c>
      <x:c r="E4" s="3">
        <x:v>79</x:v>
      </x:c>
      <x:c r="F4" s="3">
        <x:v>65</x:v>
      </x:c>
      <x:c r="G4" s="5">
        <x:v>191</x:v>
      </x:c>
    </x:row>
    <x:row r="5">
      <x:c r="A5" s="4">
        <x:v>45354</x:v>
      </x:c>
      <x:c r="B5" s="1" t="str">
        <x:f t="shared" si="0"/>
        <x:v>Sun</x:v>
      </x:c>
      <x:c r="C5" s="2">
        <x:v>0.47847222222222219</x:v>
      </x:c>
      <x:c r="D5" s="3">
        <x:v>145</x:v>
      </x:c>
      <x:c r="E5" s="3">
        <x:v>88</x:v>
      </x:c>
      <x:c r="F5" s="3">
        <x:v>60</x:v>
      </x:c>
      <x:c r="G5" s="5">
        <x:v>235</x:v>
      </x:c>
    </x:row>
    <x:row r="6">
      <x:c r="A6" s="4">
        <x:v>45355</x:v>
      </x:c>
      <x:c r="B6" s="1" t="str">
        <x:f t="shared" si="0"/>
        <x:v>Mon</x:v>
      </x:c>
      <x:c r="C6" s="2">
        <x:v>0.42638888888888887</x:v>
      </x:c>
      <x:c r="D6" s="3">
        <x:v>148</x:v>
      </x:c>
      <x:c r="E6" s="3">
        <x:v>81</x:v>
      </x:c>
      <x:c r="F6" s="3">
        <x:v>60</x:v>
      </x:c>
      <x:c r="G6" s="5">
        <x:v>132</x:v>
      </x:c>
    </x:row>
    <x:row r="7">
      <x:c r="A7" s="4">
        <x:v>45356</x:v>
      </x:c>
      <x:c r="B7" s="1" t="str">
        <x:f t="shared" si="0"/>
        <x:v>Tue</x:v>
      </x:c>
      <x:c r="C7" s="2">
        <x:v>0.45624999999999999</x:v>
      </x:c>
      <x:c r="D7" s="3">
        <x:v>148</x:v>
      </x:c>
      <x:c r="E7" s="3">
        <x:v>83</x:v>
      </x:c>
      <x:c r="F7" s="3">
        <x:v>62</x:v>
      </x:c>
      <x:c r="G7" s="5">
        <x:v>183</x:v>
      </x:c>
    </x:row>
    <x:row r="8">
      <x:c r="A8" s="4">
        <x:v>45357</x:v>
      </x:c>
      <x:c r="B8" s="1" t="str">
        <x:f t="shared" si="0"/>
        <x:v>Wed</x:v>
      </x:c>
      <x:c r="C8" s="2">
        <x:v>0.4375</x:v>
      </x:c>
      <x:c r="D8" s="3">
        <x:v>125</x:v>
      </x:c>
      <x:c r="E8" s="3">
        <x:v>75</x:v>
      </x:c>
      <x:c r="F8" s="3">
        <x:v>59</x:v>
      </x:c>
      <x:c r="G8" s="5">
        <x:v>176</x:v>
      </x:c>
    </x:row>
    <x:row r="9">
      <x:c r="A9" s="4">
        <x:v>45358</x:v>
      </x:c>
      <x:c r="B9" s="1" t="str">
        <x:f t="shared" si="0"/>
        <x:v>Thu</x:v>
      </x:c>
      <x:c r="C9" s="2">
        <x:v>0.37152777777777773</x:v>
      </x:c>
      <x:c r="D9" s="3">
        <x:v>117</x:v>
      </x:c>
      <x:c r="E9" s="3">
        <x:v>79</x:v>
      </x:c>
      <x:c r="F9" s="3">
        <x:v>64</x:v>
      </x:c>
      <x:c r="G9" s="5">
        <x:v>185</x:v>
      </x:c>
    </x:row>
    <x:row r="10">
      <x:c r="A10" s="4">
        <x:v>45359</x:v>
      </x:c>
      <x:c r="B10" s="1" t="str">
        <x:f t="shared" si="0"/>
        <x:v>Fri</x:v>
      </x:c>
      <x:c r="C10" s="2">
        <x:v>0.45624999999999999</x:v>
      </x:c>
      <x:c r="D10" s="3">
        <x:v>128</x:v>
      </x:c>
      <x:c r="E10" s="3">
        <x:v>80</x:v>
      </x:c>
      <x:c r="F10" s="3">
        <x:v>67</x:v>
      </x:c>
      <x:c r="G10" s="5">
        <x:v>168</x:v>
      </x:c>
    </x:row>
    <x:row r="11">
      <x:c r="A11" s="4">
        <x:v>45360</x:v>
      </x:c>
      <x:c r="B11" s="1" t="str">
        <x:f t="shared" si="0"/>
        <x:v>Sat</x:v>
      </x:c>
      <x:c r="D11" s="3"/>
      <x:c r="E11" s="3"/>
      <x:c r="F11" s="3"/>
      <x:c r="G11" s="5" t="s">
        <x:v>14</x:v>
      </x:c>
    </x:row>
    <x:row r="12">
      <x:c r="A12" s="4">
        <x:v>45361</x:v>
      </x:c>
      <x:c r="B12" s="1" t="str">
        <x:f t="shared" si="0"/>
        <x:v>Sun</x:v>
      </x:c>
      <x:c r="D12" s="3"/>
      <x:c r="E12" s="3"/>
      <x:c r="F12" s="3"/>
      <x:c r="G12" s="5"/>
    </x:row>
    <x:row r="13">
      <x:c r="A13" s="4">
        <x:v>45362</x:v>
      </x:c>
      <x:c r="B13" s="1" t="str">
        <x:f t="shared" si="0"/>
        <x:v>Mon</x:v>
      </x:c>
      <x:c r="D13" s="3"/>
      <x:c r="E13" s="3"/>
      <x:c r="F13" s="3"/>
      <x:c r="G13" s="5"/>
    </x:row>
    <x:row r="14">
      <x:c r="A14" s="4">
        <x:v>45363</x:v>
      </x:c>
      <x:c r="B14" s="1" t="str">
        <x:f t="shared" si="0"/>
        <x:v>Tue</x:v>
      </x:c>
      <x:c r="D14" s="3"/>
      <x:c r="E14" s="3"/>
      <x:c r="F14" s="3"/>
      <x:c r="G14" s="5"/>
    </x:row>
    <x:row r="15">
      <x:c r="A15" s="4">
        <x:v>45364</x:v>
      </x:c>
      <x:c r="B15" s="1" t="str">
        <x:f t="shared" si="0"/>
        <x:v>Wed</x:v>
      </x:c>
      <x:c r="D15" s="3"/>
      <x:c r="E15" s="3"/>
      <x:c r="F15" s="3"/>
      <x:c r="G15" s="5"/>
    </x:row>
    <x:row r="16">
      <x:c r="A16" s="4">
        <x:v>45365</x:v>
      </x:c>
      <x:c r="B16" s="1" t="str">
        <x:f t="shared" si="0"/>
        <x:v>Thu</x:v>
      </x:c>
      <x:c r="D16" s="3"/>
      <x:c r="E16" s="3"/>
      <x:c r="F16" s="3"/>
      <x:c r="G16" s="5"/>
    </x:row>
    <x:row r="17">
      <x:c r="A17" s="4">
        <x:v>45366</x:v>
      </x:c>
      <x:c r="B17" s="1" t="str">
        <x:f t="shared" si="0"/>
        <x:v>Fri</x:v>
      </x:c>
      <x:c r="D17" s="3"/>
      <x:c r="E17" s="3"/>
      <x:c r="F17" s="3"/>
      <x:c r="G17" s="5"/>
    </x:row>
    <x:row r="18">
      <x:c r="A18" s="4">
        <x:v>45367</x:v>
      </x:c>
      <x:c r="B18" s="1" t="str">
        <x:f t="shared" si="0"/>
        <x:v>Sat</x:v>
      </x:c>
      <x:c r="D18" s="3"/>
      <x:c r="E18" s="3"/>
      <x:c r="F18" s="3"/>
      <x:c r="G18" s="5"/>
    </x:row>
    <x:row r="19">
      <x:c r="A19" s="4">
        <x:v>45368</x:v>
      </x:c>
      <x:c r="B19" s="1" t="str">
        <x:f t="shared" si="0"/>
        <x:v>Sun</x:v>
      </x:c>
      <x:c r="D19" s="3"/>
      <x:c r="E19" s="3"/>
      <x:c r="F19" s="3"/>
      <x:c r="G19" s="5"/>
    </x:row>
    <x:row r="20">
      <x:c r="A20" s="4">
        <x:v>45369</x:v>
      </x:c>
      <x:c r="B20" s="1" t="str">
        <x:f t="shared" si="0"/>
        <x:v>Mon</x:v>
      </x:c>
      <x:c r="D20" s="3"/>
      <x:c r="E20" s="3"/>
      <x:c r="F20" s="3"/>
      <x:c r="G20" s="5"/>
    </x:row>
    <x:row r="21">
      <x:c r="A21" s="4">
        <x:v>45370</x:v>
      </x:c>
      <x:c r="B21" s="1" t="str">
        <x:f t="shared" si="0"/>
        <x:v>Tue</x:v>
      </x:c>
      <x:c r="D21" s="3"/>
      <x:c r="E21" s="3"/>
      <x:c r="F21" s="3"/>
      <x:c r="G21" s="5"/>
    </x:row>
    <x:row r="22">
      <x:c r="A22" s="4">
        <x:v>45371</x:v>
      </x:c>
      <x:c r="B22" s="1" t="str">
        <x:f t="shared" si="0"/>
        <x:v>Wed</x:v>
      </x:c>
      <x:c r="D22" s="3"/>
      <x:c r="E22" s="3"/>
      <x:c r="F22" s="3"/>
      <x:c r="G22" s="5"/>
    </x:row>
    <x:row r="23">
      <x:c r="A23" s="4">
        <x:v>45372</x:v>
      </x:c>
      <x:c r="B23" s="1" t="str">
        <x:f t="shared" si="0"/>
        <x:v>Thu</x:v>
      </x:c>
      <x:c r="D23" s="3"/>
      <x:c r="E23" s="3"/>
      <x:c r="F23" s="3"/>
      <x:c r="G23" s="5"/>
    </x:row>
    <x:row r="24">
      <x:c r="A24" s="4">
        <x:v>45373</x:v>
      </x:c>
      <x:c r="B24" s="1" t="str">
        <x:f t="shared" si="0"/>
        <x:v>Fri</x:v>
      </x:c>
      <x:c r="D24" s="3"/>
      <x:c r="E24" s="3"/>
      <x:c r="F24" s="3"/>
      <x:c r="G24" s="5"/>
    </x:row>
    <x:row r="25">
      <x:c r="A25" s="4">
        <x:v>45374</x:v>
      </x:c>
      <x:c r="B25" s="1" t="str">
        <x:f t="shared" si="0"/>
        <x:v>Sat</x:v>
      </x:c>
      <x:c r="D25" s="3"/>
      <x:c r="E25" s="3"/>
      <x:c r="F25" s="3"/>
      <x:c r="G25" s="5"/>
    </x:row>
    <x:row r="26">
      <x:c r="A26" s="4">
        <x:v>45375</x:v>
      </x:c>
      <x:c r="B26" s="1" t="str">
        <x:f t="shared" si="0"/>
        <x:v>Sun</x:v>
      </x:c>
      <x:c r="D26" s="3"/>
      <x:c r="E26" s="3"/>
      <x:c r="F26" s="3"/>
      <x:c r="G26" s="5"/>
    </x:row>
    <x:row r="27">
      <x:c r="A27" s="4">
        <x:v>45376</x:v>
      </x:c>
      <x:c r="B27" s="1" t="str">
        <x:f t="shared" si="0"/>
        <x:v>Mon</x:v>
      </x:c>
      <x:c r="D27" s="3"/>
      <x:c r="E27" s="3"/>
      <x:c r="F27" s="3"/>
      <x:c r="G27" s="5"/>
    </x:row>
    <x:row r="28">
      <x:c r="A28" s="4">
        <x:v>45377</x:v>
      </x:c>
      <x:c r="B28" s="1" t="str">
        <x:f t="shared" si="0"/>
        <x:v>Tue</x:v>
      </x:c>
      <x:c r="D28" s="3"/>
      <x:c r="E28" s="3"/>
      <x:c r="F28" s="3"/>
      <x:c r="G28" s="5"/>
    </x:row>
    <x:row r="29">
      <x:c r="A29" s="4">
        <x:v>45378</x:v>
      </x:c>
      <x:c r="B29" s="1" t="str">
        <x:f t="shared" si="0"/>
        <x:v>Wed</x:v>
      </x:c>
      <x:c r="D29" s="3"/>
      <x:c r="E29" s="3"/>
      <x:c r="F29" s="3"/>
      <x:c r="G29" s="5"/>
    </x:row>
    <x:row r="30">
      <x:c r="A30" s="4">
        <x:v>45379</x:v>
      </x:c>
      <x:c r="B30" s="1" t="str">
        <x:f t="shared" si="0"/>
        <x:v>Thu</x:v>
      </x:c>
      <x:c r="D30" s="3"/>
      <x:c r="E30" s="3"/>
      <x:c r="F30" s="3"/>
      <x:c r="G30" s="5"/>
    </x:row>
    <x:row r="31">
      <x:c r="A31" s="4">
        <x:v>45380</x:v>
      </x:c>
      <x:c r="B31" s="1" t="str">
        <x:f t="shared" si="0"/>
        <x:v>Fri</x:v>
      </x:c>
      <x:c r="D31" s="3"/>
      <x:c r="E31" s="3"/>
      <x:c r="F31" s="3"/>
      <x:c r="G31" s="5"/>
    </x:row>
    <x:row r="32">
      <x:c r="A32" s="4">
        <x:v>45321</x:v>
      </x:c>
      <x:c r="B32" s="1" t="str">
        <x:f t="shared" si="0"/>
        <x:v>Tue</x:v>
      </x:c>
      <x:c r="D32" s="3"/>
      <x:c r="E32" s="3"/>
      <x:c r="F32" s="3"/>
      <x:c r="G32" s="5"/>
    </x:row>
    <x:row r="33">
      <x:c r="A33" s="4">
        <x:v>45322</x:v>
      </x:c>
      <x:c r="B33" s="1" t="str">
        <x:f t="shared" si="0"/>
        <x:v>Wed</x:v>
      </x:c>
      <x:c r="D33" s="3"/>
      <x:c r="E33" s="3"/>
      <x:c r="F33" s="3"/>
      <x:c r="G33" s="5"/>
    </x:row>
    <x:row r="34">
      <x:c r="A34" s="4"/>
      <x:c r="B34" s="1"/>
      <x:c r="D34" s="3"/>
      <x:c r="E34" s="3"/>
      <x:c r="F34" s="3"/>
      <x:c r="G34" s="5"/>
    </x:row>
    <x:row r="35">
      <x:c r="A35" s="4" t="s">
        <x:v>7</x:v>
      </x:c>
      <x:c r="B35" s="1"/>
      <x:c r="C35" s="2" t="n" cm="1">
        <x:f t="array" ref="C35">IFERROR(MEDIAN(IF(C3:C33&lt;&gt;0,C3:C33)),0)</x:f>
        <x:v>0.4791666666666667</x:v>
      </x:c>
      <x:c r="D35" s="3" t="str">
        <x:f>IFERROR(_xlfn.AGGREGATE(12,6,D3:D33),0)</x:f>
      </x:c>
      <x:c r="E35" s="3" t="str">
        <x:f t="shared" ref="E35:G35" si="1">IFERROR(_xlfn.AGGREGATE(12,6,E3:E33),0)</x:f>
      </x:c>
      <x:c r="F35" s="3">
        <x:f t="shared" si="1"/>
        <x:v>62.5</x:v>
      </x:c>
      <x:c r="G35" s="3">
        <x:f t="shared" si="1"/>
        <x:v>179.5</x:v>
      </x:c>
    </x:row>
    <x:row r="36">
      <x:c r="A36" s="4"/>
      <x:c r="B36" s="1"/>
      <x:c r="D36" s="3" t="s">
        <x:v>8</x:v>
      </x:c>
      <x:c r="E36" s="3" t="s">
        <x:v>9</x:v>
      </x:c>
      <x:c r="F36" s="3" t="s">
        <x:v>10</x:v>
      </x:c>
      <x:c r="G36" s="3" t="s">
        <x:v>6</x:v>
      </x:c>
    </x:row>
    <x:row r="37">
      <x:c r="A37" s="6" t="s">
        <x:v>11</x:v>
      </x:c>
      <x:c r="B37" s="7"/>
      <x:c r="C37" s="8" t="n">
        <x:f>MAX(C3:C33)</x:f>
        <x:v>0.4791666666666667</x:v>
      </x:c>
      <x:c r="D37" s="9" t="n">
        <x:f>IFERROR(_xlfn.AGGREGATE(4,6,D3:D33),0)</x:f>
        <x:v>148</x:v>
      </x:c>
      <x:c r="E37" s="9" t="n">
        <x:f t="shared" ref="E37:G37" si="2">IFERROR(_xlfn.AGGREGATE(4,6,E3:E33),0)</x:f>
        <x:v>88</x:v>
      </x:c>
      <x:c r="F37" s="9">
        <x:f t="shared" si="2"/>
        <x:v>67</x:v>
      </x:c>
      <x:c r="G37" s="9">
        <x:f t="shared" si="2"/>
        <x:v>235</x:v>
      </x:c>
    </x:row>
    <x:row r="38">
      <x:c r="A38" s="10" t="s">
        <x:v>12</x:v>
      </x:c>
      <x:c r="B38" s="11"/>
      <x:c r="C38" s="12" t="n">
        <x:f>MIN(C3:C33)</x:f>
        <x:v>0.37152777777777773</x:v>
      </x:c>
      <x:c r="D38" s="13" t="n">
        <x:f>_xlfn.MINIFS(D3:D33,D3:D33,"&lt;&gt;0")</x:f>
        <x:v>0</x:v>
      </x:c>
      <x:c r="E38" s="13" t="n">
        <x:f t="shared" ref="E38:G38" si="3">_xlfn.MINIFS(E3:E33,E3:E33,"&lt;&gt;0")</x:f>
        <x:v>0</x:v>
      </x:c>
      <x:c r="F38" s="13">
        <x:f t="shared" si="3"/>
        <x:v>59</x:v>
      </x:c>
      <x:c r="G38" s="13">
        <x:f t="shared" si="3"/>
        <x:v>132</x:v>
      </x:c>
    </x:row>
    <x:row r="39">
      <x:c r="A39" s="4"/>
      <x:c r="B39" s="1"/>
      <x:c r="D39" s="3"/>
      <x:c r="E39" s="3"/>
      <x:c r="F39" s="3"/>
      <x:c r="G39" s="5"/>
    </x:row>
    <x:row r="40">
      <x:c r="A40" s="22" t="s">
        <x:v>13</x:v>
      </x:c>
      <x:c r="B40" s="23"/>
      <x:c r="D40" s="3" t="n">
        <x:f>IFERROR(_xlfn.AGGREGATE(8,6,D3:D33),0)</x:f>
        <x:v>11.553543828626783</x:v>
      </x:c>
      <x:c r="E40" s="3" t="n">
        <x:f t="shared" ref="E40:G40" si="4">IFERROR(_xlfn.AGGREGATE(8,6,E3:E33),0)</x:f>
        <x:v>4.743416490252569</x:v>
      </x:c>
      <x:c r="F40" s="3">
        <x:f t="shared" si="4"/>
        <x:v>2.598076211353316</x:v>
      </x:c>
      <x:c r="G40" s="3">
        <x:f t="shared" si="4"/>
        <x:v>27.294688127912362</x:v>
      </x:c>
    </x:row>
  </x:sheetData>
  <x:mergeCells>
    <x:mergeCell ref="A1:G1"/>
    <x:mergeCell ref="A40:B40"/>
  </x:mergeCells>
  <x:conditionalFormatting sqref="B3:B33">
    <x:cfRule type="containsText" dxfId="9" priority="1" operator="containsText" text="*s">
      <x:formula>NOT(ISERROR(SEARCH("*s",B3)))</x:formula>
    </x:cfRule>
  </x:conditionalFormatting>
  <x:conditionalFormatting sqref="D3:D34">
    <x:cfRule type="top10" dxfId="8" priority="2" bottom="1" rank="1"/>
    <x:cfRule type="top10" dxfId="7" priority="3" rank="1"/>
  </x:conditionalFormatting>
  <x:conditionalFormatting sqref="E3:E34">
    <x:cfRule type="top10" dxfId="6" priority="4" bottom="1" rank="1"/>
    <x:cfRule type="top10" dxfId="5" priority="5" rank="1"/>
  </x:conditionalFormatting>
  <x:conditionalFormatting sqref="F3:F34">
    <x:cfRule type="top10" dxfId="4" priority="6" bottom="1" rank="1"/>
    <x:cfRule type="top10" dxfId="3" priority="7" rank="1"/>
  </x:conditionalFormatting>
  <x:conditionalFormatting sqref="G3:G34">
    <x:cfRule type="top10" dxfId="2" priority="8" bottom="1" rank="1"/>
    <x:cfRule type="top10" dxfId="1" priority="9" rank="1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6"/>
  <x:cols>
    <x:col min="1" max="1" width="7.440000057220459" hidden="0" customWidth="1"/>
    <x:col min="3" max="3" width="3.890000104904175" hidden="0" customWidth="1"/>
    <x:col min="2" max="2" width="3.3299999237060547" hidden="0" customWidth="1"/>
    <x:col min="4" max="4" width="5.110000133514404" hidden="0" customWidth="1"/>
    <x:col min="5" max="5" width="5.78000020980835" hidden="0" customWidth="1"/>
    <x:col min="6" max="6" width="3.7799999713897705" hidden="0" customWidth="1"/>
    <x:col min="7" max="7" width="3.890000104904175" hidden="0" customWidth="1"/>
    <x:col min="8" max="8" width="18" hidden="0" customWidth="1"/>
    <x:col min="9" max="9" width="8.4399995803833" hidden="0" customWidth="1"/>
    <x:col min="10" max="10" width="6.559999942779541" hidden="0" customWidth="1"/>
  </x:cols>
  <x:sheetData>
    <x:row r="1">
      <x:c r="A1" s="42" t="str">
        <x:v>date</x:v>
      </x:c>
      <x:c r="B1" s="42" t="str">
        <x:v>day</x:v>
      </x:c>
      <x:c r="C1" s="43" t="str">
        <x:v>time</x:v>
      </x:c>
      <x:c r="D1" s="44" t="str">
        <x:v>Systolic</x:v>
      </x:c>
      <x:c r="E1" s="44" t="str">
        <x:v>Diastolic</x:v>
      </x:c>
      <x:c r="F1" s="44" t="str">
        <x:v>Pulse</x:v>
      </x:c>
      <x:c r="G1" s="44" t="str">
        <x:v>Sugar</x:v>
      </x:c>
      <x:c r="H1" s="45" t="str">
        <x:v>Axis Label</x:v>
      </x:c>
      <x:c r="I1" s="45" t="str">
        <x:v>Source Sheet</x:v>
      </x:c>
      <x:c r="J1" s="45" t="str">
        <x:v>Day Index</x:v>
      </x:c>
      <x:c r="K1"/>
      <x:c r="L1"/>
    </x:row>
    <x:row r="2" ht="32" customHeight="1">
      <x:c r="A2" s="46" t="n">
        <x:v>45330</x:v>
      </x:c>
      <x:c r="B2" s="34" t="str">
        <x:v>Thu</x:v>
      </x:c>
      <x:c r="C2" s="47" t="n">
        <x:f ca="1"/>
        <x:v>0.4513888888888889</x:v>
      </x:c>
      <x:c r="D2" s="48" t="n">
        <x:f ca="1"/>
        <x:v>143</x:v>
      </x:c>
      <x:c r="E2" s="48" t="n">
        <x:f ca="1"/>
        <x:v>81</x:v>
      </x:c>
      <x:c r="F2" s="48" t="n">
        <x:f ca="1"/>
        <x:v>57</x:v>
      </x:c>
      <x:c r="G2" s="48" t="n">
        <x:f ca="1"/>
        <x:v>174</x:v>
      </x:c>
      <x:c r="H2" s="49" t="str">
        <x:v>2024-02-08
Thu 10:50</x:v>
      </x:c>
      <x:c r="I2" s="35" t="str">
        <x:v>Feb24</x:v>
      </x:c>
      <x:c r="J2" s="34" t="n">
        <x:v>8</x:v>
      </x:c>
    </x:row>
    <x:row r="3" ht="32" customHeight="1">
      <x:c r="A3" s="46" t="n">
        <x:v>45331</x:v>
      </x:c>
      <x:c r="B3" s="34" t="str">
        <x:f t="shared" ref="B3:B31" si="0">TEXT(A3,"DDD")</x:f>
        <x:v>Fri</x:v>
      </x:c>
      <x:c r="C3" s="47" t="n">
        <x:f ca="1"/>
        <x:v>0.41875</x:v>
      </x:c>
      <x:c r="D3" s="48" t="n">
        <x:f ca="1"/>
        <x:v>128</x:v>
      </x:c>
      <x:c r="E3" s="48" t="n">
        <x:f ca="1"/>
        <x:v>79</x:v>
      </x:c>
      <x:c r="F3" s="48" t="n">
        <x:f ca="1"/>
        <x:v>59</x:v>
      </x:c>
      <x:c r="G3" s="48" t="n">
        <x:f ca="1"/>
        <x:v>175</x:v>
      </x:c>
      <x:c r="H3" s="49" t="str">
        <x:v>2024-02-09
Fri 10:03</x:v>
      </x:c>
      <x:c r="I3" s="35" t="str">
        <x:f t="shared" ref="I3:I31" si="1">TEXT(A3,"mmm")&amp;TEXT(A3,"yy")</x:f>
        <x:v>Feb24</x:v>
      </x:c>
      <x:c r="J3" s="34" t="n">
        <x:v>9</x:v>
      </x:c>
    </x:row>
    <x:row r="4" ht="32" customHeight="1">
      <x:c r="A4" s="46" t="n">
        <x:v>45332</x:v>
      </x:c>
      <x:c r="B4" s="34" t="str">
        <x:f t="shared" si="0"/>
        <x:v>Sat</x:v>
      </x:c>
      <x:c r="C4" s="47" t="n">
        <x:f ca="1"/>
        <x:v>0.4298611111111111</x:v>
      </x:c>
      <x:c r="D4" s="48" t="n">
        <x:f ca="1"/>
        <x:v>122</x:v>
      </x:c>
      <x:c r="E4" s="48" t="n">
        <x:f ca="1"/>
        <x:v>77</x:v>
      </x:c>
      <x:c r="F4" s="48" t="n">
        <x:f ca="1"/>
        <x:v>62</x:v>
      </x:c>
      <x:c r="G4" s="48" t="n">
        <x:f ca="1"/>
        <x:v>166</x:v>
      </x:c>
      <x:c r="H4" s="49" t="str">
        <x:v>2024-02-10
Sat 10:19</x:v>
      </x:c>
      <x:c r="I4" s="35" t="str">
        <x:f t="shared" si="1"/>
        <x:v>Feb24</x:v>
      </x:c>
      <x:c r="J4" s="34" t="n">
        <x:v>10</x:v>
      </x:c>
    </x:row>
    <x:row r="5" ht="32" customHeight="1">
      <x:c r="A5" s="46" t="n">
        <x:v>45333</x:v>
      </x:c>
      <x:c r="B5" s="34" t="str">
        <x:f t="shared" si="0"/>
        <x:v>Sun</x:v>
      </x:c>
      <x:c r="C5" s="47" t="n">
        <x:f ca="1"/>
        <x:v>0.42430555555555555</x:v>
      </x:c>
      <x:c r="D5" s="48" t="n">
        <x:f ca="1"/>
        <x:v>128</x:v>
      </x:c>
      <x:c r="E5" s="48" t="n">
        <x:f ca="1"/>
        <x:v>80</x:v>
      </x:c>
      <x:c r="F5" s="48" t="n">
        <x:f ca="1"/>
        <x:v>56</x:v>
      </x:c>
      <x:c r="G5" s="48" t="n">
        <x:f ca="1"/>
        <x:v>172</x:v>
      </x:c>
      <x:c r="H5" s="49" t="str">
        <x:v>2024-02-11
Sun 10:11</x:v>
      </x:c>
      <x:c r="I5" s="35" t="str">
        <x:f t="shared" si="1"/>
        <x:v>Feb24</x:v>
      </x:c>
      <x:c r="J5" s="34" t="n">
        <x:v>11</x:v>
      </x:c>
    </x:row>
    <x:row r="6" ht="32" customHeight="1">
      <x:c r="A6" s="46" t="n">
        <x:v>45334</x:v>
      </x:c>
      <x:c r="B6" s="34" t="str">
        <x:f t="shared" si="0"/>
        <x:v>Mon</x:v>
      </x:c>
      <x:c r="C6" s="47" t="n">
        <x:f ca="1"/>
        <x:v>0.4291666666666667</x:v>
      </x:c>
      <x:c r="D6" s="48" t="n">
        <x:f ca="1"/>
        <x:v>135</x:v>
      </x:c>
      <x:c r="E6" s="48" t="n">
        <x:f ca="1"/>
        <x:v>74</x:v>
      </x:c>
      <x:c r="F6" s="48" t="n">
        <x:f ca="1"/>
        <x:v>59</x:v>
      </x:c>
      <x:c r="G6" s="48" t="n">
        <x:f ca="1"/>
        <x:v>180</x:v>
      </x:c>
      <x:c r="H6" s="49" t="str">
        <x:v>2024-02-12
Mon 10:18</x:v>
      </x:c>
      <x:c r="I6" s="35" t="str">
        <x:f t="shared" si="1"/>
        <x:v>Feb24</x:v>
      </x:c>
      <x:c r="J6" s="34" t="n">
        <x:v>12</x:v>
      </x:c>
    </x:row>
    <x:row r="7" ht="32" customHeight="1">
      <x:c r="A7" s="46" t="n">
        <x:v>45335</x:v>
      </x:c>
      <x:c r="B7" s="34" t="str">
        <x:f t="shared" si="0"/>
        <x:v>Tue</x:v>
      </x:c>
      <x:c r="C7" s="47" t="n">
        <x:f ca="1"/>
        <x:v>0.4395833333333334</x:v>
      </x:c>
      <x:c r="D7" s="48" t="n">
        <x:f ca="1"/>
        <x:v>135</x:v>
      </x:c>
      <x:c r="E7" s="48" t="n">
        <x:f ca="1"/>
        <x:v>72</x:v>
      </x:c>
      <x:c r="F7" s="48" t="n">
        <x:f ca="1"/>
        <x:v>63</x:v>
      </x:c>
      <x:c r="G7" s="48" t="n">
        <x:f ca="1"/>
        <x:v>180</x:v>
      </x:c>
      <x:c r="H7" s="49" t="str">
        <x:v>2024-02-13
Tue 10:33</x:v>
      </x:c>
      <x:c r="I7" s="35" t="str">
        <x:f t="shared" si="1"/>
        <x:v>Feb24</x:v>
      </x:c>
      <x:c r="J7" s="34" t="n">
        <x:v>13</x:v>
      </x:c>
    </x:row>
    <x:row r="8" ht="32" customHeight="1">
      <x:c r="A8" s="46" t="n">
        <x:v>45336</x:v>
      </x:c>
      <x:c r="B8" s="34" t="str">
        <x:f t="shared" si="0"/>
        <x:v>Wed</x:v>
      </x:c>
      <x:c r="C8" s="47" t="n">
        <x:f ca="1"/>
        <x:v>0.4305555555555556</x:v>
      </x:c>
      <x:c r="D8" s="48" t="n">
        <x:f ca="1"/>
        <x:v>147</x:v>
      </x:c>
      <x:c r="E8" s="48" t="n">
        <x:f ca="1"/>
        <x:v>76</x:v>
      </x:c>
      <x:c r="F8" s="48" t="n">
        <x:f ca="1"/>
        <x:v>66</x:v>
      </x:c>
      <x:c r="G8" s="48" t="n">
        <x:f ca="1"/>
        <x:v>189</x:v>
      </x:c>
      <x:c r="H8" s="49" t="str">
        <x:v>2024-02-14
Wed 10:20</x:v>
      </x:c>
      <x:c r="I8" s="35" t="str">
        <x:f t="shared" si="1"/>
        <x:v>Feb24</x:v>
      </x:c>
      <x:c r="J8" s="34" t="n">
        <x:v>14</x:v>
      </x:c>
    </x:row>
    <x:row r="9" ht="32" customHeight="1">
      <x:c r="A9" s="46" t="n">
        <x:v>45337</x:v>
      </x:c>
      <x:c r="B9" s="34" t="str">
        <x:f t="shared" si="0"/>
        <x:v>Thu</x:v>
      </x:c>
      <x:c r="C9" s="47" t="n">
        <x:f ca="1"/>
        <x:v>0.47361111111111115</x:v>
      </x:c>
      <x:c r="D9" s="48" t="n">
        <x:f ca="1"/>
        <x:v>129</x:v>
      </x:c>
      <x:c r="E9" s="48" t="n">
        <x:f ca="1"/>
        <x:v>77</x:v>
      </x:c>
      <x:c r="F9" s="48" t="n">
        <x:f ca="1"/>
        <x:v>56</x:v>
      </x:c>
      <x:c r="G9" s="48" t="n">
        <x:f ca="1"/>
        <x:v>160</x:v>
      </x:c>
      <x:c r="H9" s="49" t="str">
        <x:v>2024-02-15
Thu 11:22</x:v>
      </x:c>
      <x:c r="I9" s="35" t="str">
        <x:f t="shared" si="1"/>
        <x:v>Feb24</x:v>
      </x:c>
      <x:c r="J9" s="34" t="n">
        <x:v>15</x:v>
      </x:c>
    </x:row>
    <x:row r="10" ht="32" customHeight="1">
      <x:c r="A10" s="46" t="n">
        <x:v>45338</x:v>
      </x:c>
      <x:c r="B10" s="34" t="str">
        <x:f t="shared" si="0"/>
        <x:v>Fri</x:v>
      </x:c>
      <x:c r="C10" s="47" t="n">
        <x:f ca="1"/>
        <x:v>0.4368055555555555</x:v>
      </x:c>
      <x:c r="D10" s="48" t="n">
        <x:f ca="1"/>
        <x:v>131</x:v>
      </x:c>
      <x:c r="E10" s="48" t="n">
        <x:f ca="1"/>
        <x:v>78</x:v>
      </x:c>
      <x:c r="F10" s="48" t="n">
        <x:f ca="1"/>
        <x:v>60</x:v>
      </x:c>
      <x:c r="G10" s="48" t="n">
        <x:f ca="1"/>
        <x:v>225</x:v>
      </x:c>
      <x:c r="H10" s="49" t="str">
        <x:v>2024-02-16
Fri 10:29</x:v>
      </x:c>
      <x:c r="I10" s="35" t="str">
        <x:f t="shared" si="1"/>
        <x:v>Feb24</x:v>
      </x:c>
      <x:c r="J10" s="34" t="n">
        <x:v>16</x:v>
      </x:c>
    </x:row>
    <x:row r="11" ht="32" customHeight="1">
      <x:c r="A11" s="46" t="n">
        <x:v>45339</x:v>
      </x:c>
      <x:c r="B11" s="34" t="str">
        <x:f t="shared" si="0"/>
        <x:v>Sat</x:v>
      </x:c>
      <x:c r="C11" s="47" t="n">
        <x:f ca="1"/>
        <x:v>0.42291666666666666</x:v>
      </x:c>
      <x:c r="D11" s="48" t="n">
        <x:f ca="1"/>
        <x:v>129</x:v>
      </x:c>
      <x:c r="E11" s="48" t="n">
        <x:f ca="1"/>
        <x:v>80</x:v>
      </x:c>
      <x:c r="F11" s="48" t="n">
        <x:f ca="1"/>
        <x:v>56</x:v>
      </x:c>
      <x:c r="G11" s="48" t="n">
        <x:f ca="1"/>
        <x:v>185</x:v>
      </x:c>
      <x:c r="H11" s="49" t="str">
        <x:v>2024-02-17
Sat 10:09</x:v>
      </x:c>
      <x:c r="I11" s="35" t="str">
        <x:f t="shared" si="1"/>
        <x:v>Feb24</x:v>
      </x:c>
      <x:c r="J11" s="34" t="n">
        <x:v>17</x:v>
      </x:c>
    </x:row>
    <x:row r="12" ht="32" customHeight="1">
      <x:c r="A12" s="46" t="n">
        <x:v>45340</x:v>
      </x:c>
      <x:c r="B12" s="34" t="str">
        <x:f t="shared" si="0"/>
        <x:v>Sun</x:v>
      </x:c>
      <x:c r="C12" s="47">
        <x:f ca="1"/>
      </x:c>
      <x:c r="D12" s="48">
        <x:f ca="1"/>
      </x:c>
      <x:c r="E12" s="48">
        <x:f ca="1"/>
      </x:c>
      <x:c r="F12" s="48">
        <x:f ca="1"/>
      </x:c>
      <x:c r="G12" s="48">
        <x:f ca="1"/>
      </x:c>
      <x:c r="H12" s="49" t="str">
        <x:v>2024-02-18
Sun</x:v>
      </x:c>
      <x:c r="I12" s="35" t="str">
        <x:f t="shared" si="1"/>
        <x:v>Feb24</x:v>
      </x:c>
      <x:c r="J12" s="34" t="n">
        <x:v>18</x:v>
      </x:c>
    </x:row>
    <x:row r="13" ht="32" customHeight="1">
      <x:c r="A13" s="46" t="n">
        <x:v>45341</x:v>
      </x:c>
      <x:c r="B13" s="34" t="str">
        <x:f t="shared" si="0"/>
        <x:v>Mon</x:v>
      </x:c>
      <x:c r="C13" s="47" t="n">
        <x:f ca="1"/>
        <x:v>0.425</x:v>
      </x:c>
      <x:c r="D13" s="48" t="n">
        <x:f ca="1"/>
        <x:v>140</x:v>
      </x:c>
      <x:c r="E13" s="48" t="n">
        <x:f ca="1"/>
        <x:v>81</x:v>
      </x:c>
      <x:c r="F13" s="48" t="n">
        <x:f ca="1"/>
        <x:v>56</x:v>
      </x:c>
      <x:c r="G13" s="48" t="n">
        <x:f ca="1"/>
        <x:v>174</x:v>
      </x:c>
      <x:c r="H13" s="49" t="str">
        <x:v>2024-02-19
Mon 10:12</x:v>
      </x:c>
      <x:c r="I13" s="35" t="str">
        <x:f t="shared" si="1"/>
        <x:v>Feb24</x:v>
      </x:c>
      <x:c r="J13" s="34" t="n">
        <x:v>19</x:v>
      </x:c>
    </x:row>
    <x:row r="14" ht="32" customHeight="1">
      <x:c r="A14" s="46" t="n">
        <x:v>45342</x:v>
      </x:c>
      <x:c r="B14" s="34" t="str">
        <x:f t="shared" si="0"/>
        <x:v>Tue</x:v>
      </x:c>
      <x:c r="C14" s="47" t="n">
        <x:f ca="1"/>
        <x:v>0.425</x:v>
      </x:c>
      <x:c r="D14" s="48" t="n">
        <x:f ca="1"/>
        <x:v>125</x:v>
      </x:c>
      <x:c r="E14" s="48" t="n">
        <x:f ca="1"/>
        <x:v>81</x:v>
      </x:c>
      <x:c r="F14" s="48" t="n">
        <x:f ca="1"/>
        <x:v>64</x:v>
      </x:c>
      <x:c r="G14" s="48" t="n">
        <x:f ca="1"/>
        <x:v>192</x:v>
      </x:c>
      <x:c r="H14" s="49" t="str">
        <x:v>2024-02-20
Tue 10:12</x:v>
      </x:c>
      <x:c r="I14" s="35" t="str">
        <x:f t="shared" si="1"/>
        <x:v>Feb24</x:v>
      </x:c>
      <x:c r="J14" s="34" t="n">
        <x:v>20</x:v>
      </x:c>
    </x:row>
    <x:row r="15" ht="32" customHeight="1">
      <x:c r="A15" s="46" t="n">
        <x:v>45343</x:v>
      </x:c>
      <x:c r="B15" s="34" t="str">
        <x:f t="shared" si="0"/>
        <x:v>Wed</x:v>
      </x:c>
      <x:c r="C15" s="47" t="n">
        <x:f ca="1"/>
        <x:v>0.48055555555555557</x:v>
      </x:c>
      <x:c r="D15" s="48" t="n">
        <x:f ca="1"/>
        <x:v>120</x:v>
      </x:c>
      <x:c r="E15" s="48" t="n">
        <x:f ca="1"/>
        <x:v>75</x:v>
      </x:c>
      <x:c r="F15" s="48" t="n">
        <x:f ca="1"/>
        <x:v>62</x:v>
      </x:c>
      <x:c r="G15" s="48" t="n">
        <x:f ca="1"/>
        <x:v>169</x:v>
      </x:c>
      <x:c r="H15" s="49" t="str">
        <x:v>2024-02-21
Wed 11:32</x:v>
      </x:c>
      <x:c r="I15" s="35" t="str">
        <x:f t="shared" si="1"/>
        <x:v>Feb24</x:v>
      </x:c>
      <x:c r="J15" s="34" t="n">
        <x:v>21</x:v>
      </x:c>
    </x:row>
    <x:row r="16" ht="32" customHeight="1">
      <x:c r="A16" s="46" t="n">
        <x:v>45344</x:v>
      </x:c>
      <x:c r="B16" s="34" t="str">
        <x:f t="shared" si="0"/>
        <x:v>Thu</x:v>
      </x:c>
      <x:c r="C16" s="47" t="n">
        <x:f ca="1"/>
        <x:v>0.5</x:v>
      </x:c>
      <x:c r="D16" s="48" t="n">
        <x:f ca="1"/>
        <x:v>101</x:v>
      </x:c>
      <x:c r="E16" s="48" t="n">
        <x:f ca="1"/>
        <x:v>78</x:v>
      </x:c>
      <x:c r="F16" s="48" t="n">
        <x:f ca="1"/>
        <x:v>67</x:v>
      </x:c>
      <x:c r="G16" s="48" t="n">
        <x:f ca="1"/>
        <x:v>148</x:v>
      </x:c>
      <x:c r="H16" s="49" t="str">
        <x:v>2024-02-22
Thu 12:00</x:v>
      </x:c>
      <x:c r="I16" s="35" t="str">
        <x:f t="shared" si="1"/>
        <x:v>Feb24</x:v>
      </x:c>
      <x:c r="J16" s="34" t="n">
        <x:v>22</x:v>
      </x:c>
    </x:row>
    <x:row r="17" ht="32" customHeight="1">
      <x:c r="A17" s="46" t="n">
        <x:v>45345</x:v>
      </x:c>
      <x:c r="B17" s="34" t="str">
        <x:f t="shared" si="0"/>
        <x:v>Fri</x:v>
      </x:c>
      <x:c r="C17" s="47" t="n">
        <x:f ca="1"/>
        <x:v>0.4388888888888889</x:v>
      </x:c>
      <x:c r="D17" s="48" t="n">
        <x:f ca="1"/>
        <x:v>115</x:v>
      </x:c>
      <x:c r="E17" s="48" t="n">
        <x:f ca="1"/>
        <x:v>73</x:v>
      </x:c>
      <x:c r="F17" s="48" t="n">
        <x:f ca="1"/>
        <x:v>63</x:v>
      </x:c>
      <x:c r="G17" s="48" t="n">
        <x:f ca="1"/>
        <x:v>167</x:v>
      </x:c>
      <x:c r="H17" s="49" t="str">
        <x:v>2024-02-23
Fri 10:32</x:v>
      </x:c>
      <x:c r="I17" s="35" t="str">
        <x:f t="shared" si="1"/>
        <x:v>Feb24</x:v>
      </x:c>
      <x:c r="J17" s="34" t="n">
        <x:v>23</x:v>
      </x:c>
    </x:row>
    <x:row r="18" ht="32" customHeight="1">
      <x:c r="A18" s="46" t="n">
        <x:v>45346</x:v>
      </x:c>
      <x:c r="B18" s="34" t="str">
        <x:f t="shared" si="0"/>
        <x:v>Sat</x:v>
      </x:c>
      <x:c r="C18" s="47" t="n">
        <x:f ca="1"/>
        <x:v>0.4236111111111111</x:v>
      </x:c>
      <x:c r="D18" s="48" t="n">
        <x:f ca="1"/>
        <x:v>126</x:v>
      </x:c>
      <x:c r="E18" s="48" t="n">
        <x:f ca="1"/>
        <x:v>76</x:v>
      </x:c>
      <x:c r="F18" s="48" t="n">
        <x:f ca="1"/>
        <x:v>60</x:v>
      </x:c>
      <x:c r="G18" s="48" t="n">
        <x:f ca="1"/>
        <x:v>195</x:v>
      </x:c>
      <x:c r="H18" s="49" t="str">
        <x:v>2024-02-24
Sat 10:10</x:v>
      </x:c>
      <x:c r="I18" s="35" t="str">
        <x:f t="shared" si="1"/>
        <x:v>Feb24</x:v>
      </x:c>
      <x:c r="J18" s="34" t="n">
        <x:v>24</x:v>
      </x:c>
    </x:row>
    <x:row r="19" ht="32" customHeight="1">
      <x:c r="A19" s="46" t="n">
        <x:v>45347</x:v>
      </x:c>
      <x:c r="B19" s="34" t="str">
        <x:f t="shared" si="0"/>
        <x:v>Sun</x:v>
      </x:c>
      <x:c r="C19" s="47" t="n">
        <x:f ca="1"/>
        <x:v>0.44305555555555554</x:v>
      </x:c>
      <x:c r="D19" s="48" t="n">
        <x:f ca="1"/>
        <x:v>118</x:v>
      </x:c>
      <x:c r="E19" s="48" t="n">
        <x:f ca="1"/>
        <x:v>74</x:v>
      </x:c>
      <x:c r="F19" s="48" t="n">
        <x:f ca="1"/>
        <x:v>62</x:v>
      </x:c>
      <x:c r="G19" s="48" t="n">
        <x:f ca="1"/>
        <x:v>170</x:v>
      </x:c>
      <x:c r="H19" s="49" t="str">
        <x:v>2024-02-25
Sun 10:38</x:v>
      </x:c>
      <x:c r="I19" s="35" t="str">
        <x:f t="shared" si="1"/>
        <x:v>Feb24</x:v>
      </x:c>
      <x:c r="J19" s="34" t="n">
        <x:v>25</x:v>
      </x:c>
      <x:c r="O19" t="s">
        <x:v>15</x:v>
      </x:c>
    </x:row>
    <x:row r="20" ht="32" customHeight="1">
      <x:c r="A20" s="46" t="n">
        <x:v>45348</x:v>
      </x:c>
      <x:c r="B20" s="34" t="str">
        <x:f t="shared" si="0"/>
        <x:v>Mon</x:v>
      </x:c>
      <x:c r="C20" s="47" t="n">
        <x:f ca="1"/>
        <x:v>0.45625</x:v>
      </x:c>
      <x:c r="D20" s="48" t="n">
        <x:f ca="1"/>
        <x:v>128</x:v>
      </x:c>
      <x:c r="E20" s="48" t="n">
        <x:f ca="1"/>
        <x:v>81</x:v>
      </x:c>
      <x:c r="F20" s="48" t="n">
        <x:f ca="1"/>
        <x:v>64</x:v>
      </x:c>
      <x:c r="G20" s="48" t="n">
        <x:f ca="1"/>
        <x:v>195</x:v>
      </x:c>
      <x:c r="H20" s="49" t="str">
        <x:v>2024-02-26
Mon 10:57</x:v>
      </x:c>
      <x:c r="I20" s="35" t="str">
        <x:f t="shared" si="1"/>
        <x:v>Feb24</x:v>
      </x:c>
      <x:c r="J20" s="34" t="n">
        <x:v>26</x:v>
      </x:c>
    </x:row>
    <x:row r="21" ht="32" customHeight="1">
      <x:c r="A21" s="46" t="n">
        <x:v>45349</x:v>
      </x:c>
      <x:c r="B21" s="34" t="str">
        <x:f t="shared" si="0"/>
        <x:v>Tue</x:v>
      </x:c>
      <x:c r="C21" s="47" t="n">
        <x:f ca="1"/>
        <x:v>0.44097222222222227</x:v>
      </x:c>
      <x:c r="D21" s="48" t="n">
        <x:f ca="1"/>
        <x:v>132</x:v>
      </x:c>
      <x:c r="E21" s="48" t="n">
        <x:f ca="1"/>
        <x:v>75</x:v>
      </x:c>
      <x:c r="F21" s="48" t="n">
        <x:f ca="1"/>
        <x:v>63</x:v>
      </x:c>
      <x:c r="G21" s="48" t="n">
        <x:f ca="1"/>
        <x:v>157</x:v>
      </x:c>
      <x:c r="H21" s="49" t="str">
        <x:v>2024-02-27
Tue 10:35</x:v>
      </x:c>
      <x:c r="I21" s="35" t="str">
        <x:f t="shared" si="1"/>
        <x:v>Feb24</x:v>
      </x:c>
      <x:c r="J21" s="34" t="n">
        <x:v>27</x:v>
      </x:c>
    </x:row>
    <x:row r="22" ht="32" customHeight="1">
      <x:c r="A22" s="46" t="n">
        <x:v>45350</x:v>
      </x:c>
      <x:c r="B22" s="34" t="str">
        <x:f t="shared" si="0"/>
        <x:v>Wed</x:v>
      </x:c>
      <x:c r="C22" s="47" t="n">
        <x:f ca="1"/>
        <x:v>0.4798611111111111</x:v>
      </x:c>
      <x:c r="D22" s="48" t="n">
        <x:f ca="1"/>
        <x:v>136</x:v>
      </x:c>
      <x:c r="E22" s="48" t="n">
        <x:f ca="1"/>
        <x:v>84</x:v>
      </x:c>
      <x:c r="F22" s="48" t="n">
        <x:f ca="1"/>
        <x:v>63</x:v>
      </x:c>
      <x:c r="G22" s="48" t="n">
        <x:f ca="1"/>
        <x:v>200</x:v>
      </x:c>
      <x:c r="H22" s="49" t="str">
        <x:v>2024-02-28
Wed 11:31</x:v>
      </x:c>
      <x:c r="I22" s="35" t="str">
        <x:f t="shared" si="1"/>
        <x:v>Feb24</x:v>
      </x:c>
      <x:c r="J22" s="34" t="n">
        <x:v>28</x:v>
      </x:c>
    </x:row>
    <x:row r="23" ht="32" customHeight="1">
      <x:c r="A23" s="46" t="n">
        <x:v>45351</x:v>
      </x:c>
      <x:c r="B23" s="34" t="str">
        <x:f t="shared" si="0"/>
        <x:v>Thu</x:v>
      </x:c>
      <x:c r="C23" s="47" t="n">
        <x:f ca="1"/>
        <x:v>0.45625</x:v>
      </x:c>
      <x:c r="D23" s="48" t="n">
        <x:f ca="1"/>
        <x:v>116</x:v>
      </x:c>
      <x:c r="E23" s="48" t="n">
        <x:f ca="1"/>
        <x:v>74</x:v>
      </x:c>
      <x:c r="F23" s="48" t="n">
        <x:f ca="1"/>
        <x:v>68</x:v>
      </x:c>
      <x:c r="G23" s="48" t="n">
        <x:f ca="1"/>
        <x:v>176</x:v>
      </x:c>
      <x:c r="H23" s="49" t="str">
        <x:v>2024-02-29
Thu 10:57</x:v>
      </x:c>
      <x:c r="I23" s="35" t="str">
        <x:f t="shared" si="1"/>
        <x:v>Feb24</x:v>
      </x:c>
      <x:c r="J23" s="34" t="n">
        <x:v>29</x:v>
      </x:c>
    </x:row>
    <x:row r="24" ht="32" customHeight="1">
      <x:c r="A24" s="46" t="n">
        <x:v>45352</x:v>
      </x:c>
      <x:c r="B24" s="34" t="str">
        <x:f t="shared" si="0"/>
        <x:v>Fri</x:v>
      </x:c>
      <x:c r="C24" s="47" t="n">
        <x:f ca="1"/>
        <x:v>0.4791666666666667</x:v>
      </x:c>
      <x:c r="D24" s="48" t="n">
        <x:f ca="1"/>
        <x:v>124</x:v>
      </x:c>
      <x:c r="E24" s="48" t="n">
        <x:f ca="1"/>
        <x:v>71</x:v>
      </x:c>
      <x:c r="F24" s="48" t="n">
        <x:f ca="1"/>
        <x:v>63</x:v>
      </x:c>
      <x:c r="G24" s="48" t="n">
        <x:f ca="1"/>
        <x:v>162</x:v>
      </x:c>
      <x:c r="H24" s="49" t="str">
        <x:v>2024-03-01
Fri 11:30</x:v>
      </x:c>
      <x:c r="I24" s="35" t="str">
        <x:f t="shared" si="1"/>
        <x:v>Mar24</x:v>
      </x:c>
      <x:c r="J24" s="34" t="n">
        <x:v>1</x:v>
      </x:c>
    </x:row>
    <x:row r="25" ht="32" customHeight="1">
      <x:c r="A25" s="46" t="n">
        <x:v>45353</x:v>
      </x:c>
      <x:c r="B25" s="34" t="str">
        <x:f t="shared" si="0"/>
        <x:v>Sat</x:v>
      </x:c>
      <x:c r="C25" s="47" t="n">
        <x:f ca="1"/>
        <x:v>0.4388888888888889</x:v>
      </x:c>
      <x:c r="D25" s="48" t="n">
        <x:f ca="1"/>
        <x:v>126</x:v>
      </x:c>
      <x:c r="E25" s="48" t="n">
        <x:f ca="1"/>
        <x:v>79</x:v>
      </x:c>
      <x:c r="F25" s="48" t="n">
        <x:f ca="1"/>
        <x:v>65</x:v>
      </x:c>
      <x:c r="G25" s="48" t="n">
        <x:f ca="1"/>
        <x:v>191</x:v>
      </x:c>
      <x:c r="H25" s="49" t="str">
        <x:v>2024-03-02
Sat 10:32</x:v>
      </x:c>
      <x:c r="I25" s="35" t="str">
        <x:f t="shared" si="1"/>
        <x:v>Mar24</x:v>
      </x:c>
      <x:c r="J25" s="34" t="n">
        <x:v>2</x:v>
      </x:c>
      <x:c r="M25" t="s">
        <x:v>16</x:v>
      </x:c>
    </x:row>
    <x:row r="26" ht="32" customHeight="1">
      <x:c r="A26" s="46" t="n">
        <x:v>45354</x:v>
      </x:c>
      <x:c r="B26" s="34" t="str">
        <x:f t="shared" si="0"/>
        <x:v>Sun</x:v>
      </x:c>
      <x:c r="C26" s="47" t="n">
        <x:f ca="1"/>
        <x:v>0.4784722222222222</x:v>
      </x:c>
      <x:c r="D26" s="48" t="n">
        <x:f ca="1"/>
        <x:v>145</x:v>
      </x:c>
      <x:c r="E26" s="48" t="n">
        <x:f ca="1"/>
        <x:v>88</x:v>
      </x:c>
      <x:c r="F26" s="48" t="n">
        <x:f ca="1"/>
        <x:v>60</x:v>
      </x:c>
      <x:c r="G26" s="48" t="n">
        <x:f ca="1"/>
        <x:v>235</x:v>
      </x:c>
      <x:c r="H26" s="49" t="str">
        <x:v>2024-03-03
Sun 11:29</x:v>
      </x:c>
      <x:c r="I26" s="35" t="str">
        <x:f t="shared" si="1"/>
        <x:v>Mar24</x:v>
      </x:c>
      <x:c r="J26" s="34" t="n">
        <x:v>3</x:v>
      </x:c>
    </x:row>
    <x:row r="27" ht="32" customHeight="1">
      <x:c r="A27" s="46" t="n">
        <x:v>45355</x:v>
      </x:c>
      <x:c r="B27" s="34" t="str">
        <x:f t="shared" si="0"/>
        <x:v>Mon</x:v>
      </x:c>
      <x:c r="C27" s="47" t="n">
        <x:f ca="1"/>
        <x:v>0.4263888888888889</x:v>
      </x:c>
      <x:c r="D27" s="48" t="n">
        <x:f ca="1"/>
        <x:v>148</x:v>
      </x:c>
      <x:c r="E27" s="48" t="n">
        <x:f ca="1"/>
        <x:v>81</x:v>
      </x:c>
      <x:c r="F27" s="48" t="n">
        <x:f ca="1"/>
        <x:v>60</x:v>
      </x:c>
      <x:c r="G27" s="48" t="n">
        <x:f ca="1"/>
        <x:v>132</x:v>
      </x:c>
      <x:c r="H27" s="49" t="str">
        <x:v>2024-03-04
Mon 10:14</x:v>
      </x:c>
      <x:c r="I27" s="35" t="str">
        <x:f t="shared" si="1"/>
        <x:v>Mar24</x:v>
      </x:c>
      <x:c r="J27" s="34" t="n">
        <x:v>4</x:v>
      </x:c>
    </x:row>
    <x:row r="28" ht="32" customHeight="1">
      <x:c r="A28" s="46" t="n">
        <x:v>45356</x:v>
      </x:c>
      <x:c r="B28" s="34" t="str">
        <x:f t="shared" si="0"/>
        <x:v>Tue</x:v>
      </x:c>
      <x:c r="C28" s="47" t="n">
        <x:f ca="1"/>
        <x:v>0.45625</x:v>
      </x:c>
      <x:c r="D28" s="48" t="n">
        <x:f ca="1"/>
        <x:v>148</x:v>
      </x:c>
      <x:c r="E28" s="48" t="n">
        <x:f ca="1"/>
        <x:v>83</x:v>
      </x:c>
      <x:c r="F28" s="48" t="n">
        <x:f ca="1"/>
        <x:v>62</x:v>
      </x:c>
      <x:c r="G28" s="48" t="n">
        <x:f ca="1"/>
        <x:v>183</x:v>
      </x:c>
      <x:c r="H28" s="49" t="str">
        <x:v>2024-03-05
Tue 10:57</x:v>
      </x:c>
      <x:c r="I28" s="35" t="str">
        <x:f t="shared" si="1"/>
        <x:v>Mar24</x:v>
      </x:c>
      <x:c r="J28" s="34" t="n">
        <x:v>5</x:v>
      </x:c>
    </x:row>
    <x:row r="29" ht="32" customHeight="1">
      <x:c r="A29" s="46" t="n">
        <x:v>45357</x:v>
      </x:c>
      <x:c r="B29" s="34" t="str">
        <x:f t="shared" si="0"/>
        <x:v>Wed</x:v>
      </x:c>
      <x:c r="C29" s="47" t="n">
        <x:f ca="1"/>
        <x:v>0.4375</x:v>
      </x:c>
      <x:c r="D29" s="48" t="n">
        <x:f ca="1"/>
        <x:v>125</x:v>
      </x:c>
      <x:c r="E29" s="48" t="n">
        <x:f ca="1"/>
        <x:v>75</x:v>
      </x:c>
      <x:c r="F29" s="48" t="n">
        <x:f ca="1"/>
        <x:v>59</x:v>
      </x:c>
      <x:c r="G29" s="48" t="n">
        <x:f ca="1"/>
        <x:v>176</x:v>
      </x:c>
      <x:c r="H29" s="49" t="str">
        <x:v>2024-03-06
Wed 10:30</x:v>
      </x:c>
      <x:c r="I29" s="35" t="str">
        <x:f t="shared" si="1"/>
        <x:v>Mar24</x:v>
      </x:c>
      <x:c r="J29" s="34" t="n">
        <x:v>6</x:v>
      </x:c>
    </x:row>
    <x:row r="30" ht="32" customHeight="1">
      <x:c r="A30" s="46" t="n">
        <x:v>45358</x:v>
      </x:c>
      <x:c r="B30" s="34" t="str">
        <x:f t="shared" si="0"/>
        <x:v>Thu</x:v>
      </x:c>
      <x:c r="C30" s="47" t="n">
        <x:f ca="1"/>
        <x:v>0.37152777777777773</x:v>
      </x:c>
      <x:c r="D30" s="48" t="n">
        <x:f ca="1"/>
        <x:v>117</x:v>
      </x:c>
      <x:c r="E30" s="48" t="n">
        <x:f ca="1"/>
        <x:v>79</x:v>
      </x:c>
      <x:c r="F30" s="48" t="n">
        <x:f ca="1"/>
        <x:v>64</x:v>
      </x:c>
      <x:c r="G30" s="48" t="n">
        <x:f ca="1"/>
        <x:v>185</x:v>
      </x:c>
      <x:c r="H30" s="49" t="str">
        <x:v>2024-03-07
Thu 8:55</x:v>
      </x:c>
      <x:c r="I30" s="35" t="str">
        <x:f t="shared" si="1"/>
        <x:v>Mar24</x:v>
      </x:c>
      <x:c r="J30" s="34" t="n">
        <x:v>7</x:v>
      </x:c>
    </x:row>
    <x:row r="31" ht="32" customHeight="1">
      <x:c r="A31" s="46" t="n">
        <x:v>45359</x:v>
      </x:c>
      <x:c r="B31" s="34" t="str">
        <x:f t="shared" si="0"/>
        <x:v>Fri</x:v>
      </x:c>
      <x:c r="C31" s="47" t="n">
        <x:f ca="1"/>
        <x:v>0.45625</x:v>
      </x:c>
      <x:c r="D31" s="48" t="n">
        <x:f ca="1"/>
        <x:v>128</x:v>
      </x:c>
      <x:c r="E31" s="48" t="n">
        <x:f ca="1"/>
        <x:v>80</x:v>
      </x:c>
      <x:c r="F31" s="48" t="n">
        <x:f ca="1"/>
        <x:v>67</x:v>
      </x:c>
      <x:c r="G31" s="48" t="n">
        <x:f ca="1"/>
        <x:v>168</x:v>
      </x:c>
      <x:c r="H31" s="49" t="str">
        <x:v>2024-03-08
Fri 10:57</x:v>
      </x:c>
      <x:c r="I31" s="35" t="str">
        <x:f t="shared" si="1"/>
        <x:v>Mar24</x:v>
      </x:c>
      <x:c r="J31" s="34" t="n">
        <x:v>8</x:v>
      </x:c>
    </x:row>
  </x:sheetData>
  <x:conditionalFormatting sqref="D2:G31">
    <x:cfRule type="expression" dxfId="0" priority="1">
      <x:formula>0</x:formula>
    </x:cfRule>
  </x:conditionalFormatting>
  <x:pageMargins left="0.7" right="0.7" top="0.75" bottom="0.75" header="0.3" footer="0.3"/>
  <x:drawing xmlns:r="http://schemas.openxmlformats.org/officeDocument/2006/relationships" r:id="Rae053caf52284f6b"/>
</x:worksheet>
</file>