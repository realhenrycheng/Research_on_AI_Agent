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77919205e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结果" sheetId="1" r:id="R87b4d2ab17334b83"/>
    <x:sheet xmlns:r="http://schemas.openxmlformats.org/officeDocument/2006/relationships" name="评分明细" sheetId="2" r:id="Rebd54c1cdd1141eb"/>
    <x:sheet xmlns:r="http://schemas.openxmlformats.org/officeDocument/2006/relationships" name="规则摘要" sheetId="3" r:id="R13062d01649c4611"/>
    <x:sheet xmlns:r="http://schemas.openxmlformats.org/officeDocument/2006/relationships" name="审计说明" sheetId="4" r:id="R15d4bf9872fb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544afec6b4d1a" /><Relationship Type="http://schemas.openxmlformats.org/officeDocument/2006/relationships/theme" Target="/xl/theme/theme1.xml" Id="Rda9d07cfd4524c80" /><Relationship Type="http://schemas.openxmlformats.org/officeDocument/2006/relationships/sharedStrings" Target="/xl/sharedStrings.xml" Id="R50ff9736fdc04acc" /><Relationship Type="http://schemas.openxmlformats.org/officeDocument/2006/relationships/worksheet" Target="/xl/worksheets/sheet1.xml" Id="R87b4d2ab17334b83" /><Relationship Type="http://schemas.openxmlformats.org/officeDocument/2006/relationships/worksheet" Target="/xl/worksheets/sheet2.xml" Id="Rebd54c1cdd1141eb" /><Relationship Type="http://schemas.openxmlformats.org/officeDocument/2006/relationships/worksheet" Target="/xl/worksheets/sheet3.xml" Id="R13062d01649c4611" /><Relationship Type="http://schemas.openxmlformats.org/officeDocument/2006/relationships/worksheet" Target="/xl/worksheets/sheet4.xml" Id="R15d4bf9872fb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28" customHeight="1">
      <x:c r="A1" s="4" t="str">
        <x:v>测试二：Factcheck-GPT 综合评分结果</x:v>
      </x:c>
      <x:c r="B1" s="4" t="str">
        <x:v>测试二：Factcheck-GPT 综合评分结果</x:v>
      </x:c>
      <x:c r="C1" s="4" t="str">
        <x:v>测试二：Factcheck-GPT 综合评分结果</x:v>
      </x:c>
      <x:c r="D1" s="4" t="str">
        <x:v>测试二：Factcheck-GPT 综合评分结果</x:v>
      </x:c>
      <x:c r="E1" s="4" t="str">
        <x:v>测试二：Factcheck-GPT 综合评分结果</x:v>
      </x:c>
      <x:c r="F1" s="4" t="str">
        <x:v>测试二：Factcheck-GPT 综合评分结果</x:v>
      </x:c>
      <x:c r="G1" s="4" t="str">
        <x:v>测试二：Factcheck-GPT 综合评分结果</x:v>
      </x:c>
      <x:c r="H1" s="4" t="str">
        <x:v>测试二：Factcheck-GPT 综合评分结果</x:v>
      </x:c>
      <x:c r="I1" s="4" t="str">
        <x:v>测试二：Factcheck-GPT 综合评分结果</x:v>
      </x:c>
    </x:row>
    <x:row r="3" ht="28" customHeight="1">
      <x:c r="A3" s="10" t="str">
        <x:v>平台</x:v>
      </x:c>
      <x:c r="B3" s="10" t="str">
        <x:v>可核验性得分</x:v>
      </x:c>
      <x:c r="C3" s="10" t="str">
        <x:v>声明事实性得分</x:v>
      </x:c>
      <x:c r="D3" s="10" t="str">
        <x:v>文档级核验得分</x:v>
      </x:c>
      <x:c r="E3" s="10" t="str">
        <x:v>质量分</x:v>
      </x:c>
      <x:c r="F3" s="10" t="str">
        <x:v>总耗时秒</x:v>
      </x:c>
      <x:c r="G3" s="10" t="str">
        <x:v>效率分</x:v>
      </x:c>
      <x:c r="H3" s="10" t="str">
        <x:v>综合得分</x:v>
      </x:c>
      <x:c r="I3" s="10" t="str">
        <x:v>完成情况</x:v>
      </x:c>
    </x:row>
    <x:row r="4" ht="28" customHeight="1">
      <x:c r="A4" s="13" t="str">
        <x:v>ChatGPT Work</x:v>
      </x:c>
      <x:c r="B4" s="14" t="n">
        <x:v>15</x:v>
      </x:c>
      <x:c r="C4" s="14" t="n">
        <x:v>4.25</x:v>
      </x:c>
      <x:c r="D4" s="14" t="n">
        <x:v>18.05</x:v>
      </x:c>
      <x:c r="E4" s="14" t="n">
        <x:f>B4+C4+D4</x:f>
        <x:v>37.3</x:v>
      </x:c>
      <x:c r="F4" s="14" t="n">
        <x:v>1696.53</x:v>
      </x:c>
      <x:c r="G4" s="14" t="n">
        <x:f>10*SQRT(MIN($F$4:$F$6)/F4)</x:f>
        <x:v>10</x:v>
      </x:c>
      <x:c r="H4" s="14" t="n">
        <x:f>E4+G4</x:f>
        <x:v>47.3</x:v>
      </x:c>
      <x:c r="I4" s="13" t="str">
        <x:v>FCB_004与FCB_007缺失</x:v>
      </x:c>
    </x:row>
    <x:row r="5" ht="28" customHeight="1">
      <x:c r="A5" s="13" t="str">
        <x:v>WorkBuddy</x:v>
      </x:c>
      <x:c r="B5" s="14" t="n">
        <x:v>20</x:v>
      </x:c>
      <x:c r="C5" s="14" t="n">
        <x:v>13.5</x:v>
      </x:c>
      <x:c r="D5" s="14" t="n">
        <x:v>18.4</x:v>
      </x:c>
      <x:c r="E5" s="14" t="n">
        <x:f>B5+C5+D5</x:f>
        <x:v>51.9</x:v>
      </x:c>
      <x:c r="F5" s="14" t="n">
        <x:v>2228.65</x:v>
      </x:c>
      <x:c r="G5" s="14" t="n">
        <x:f>10*SQRT(MIN($F$4:$F$6)/F5)</x:f>
        <x:v>8.724887524018728</x:v>
      </x:c>
      <x:c r="H5" s="14" t="n">
        <x:f>E5+G5</x:f>
        <x:v>60.624887524018725</x:v>
      </x:c>
      <x:c r="I5" s="13" t="str">
        <x:v>12题完成</x:v>
      </x:c>
    </x:row>
    <x:row r="6" ht="28" customHeight="1">
      <x:c r="A6" s="13" t="str">
        <x:v>TRAE Work</x:v>
      </x:c>
      <x:c r="B6" s="14" t="n">
        <x:v>15</x:v>
      </x:c>
      <x:c r="C6" s="14" t="n">
        <x:v>15.25</x:v>
      </x:c>
      <x:c r="D6" s="14" t="n">
        <x:v>19.3</x:v>
      </x:c>
      <x:c r="E6" s="14" t="n">
        <x:f>B6+C6+D6</x:f>
        <x:v>49.55</x:v>
      </x:c>
      <x:c r="F6" s="14" t="n">
        <x:v>2328.76</x:v>
      </x:c>
      <x:c r="G6" s="14" t="n">
        <x:f>10*SQRT(MIN($F$4:$F$6)/F6)</x:f>
        <x:v>8.535292435333638</x:v>
      </x:c>
      <x:c r="H6" s="14" t="n">
        <x:f>E6+G6</x:f>
        <x:v>58.085292435333635</x:v>
      </x:c>
      <x:c r="I6" s="13" t="str">
        <x:v>12题完成</x:v>
      </x:c>
    </x:row>
    <x:row r="8">
      <x:c r="A8" s="18" t="str">
        <x:v>计分口径：质量分 90 分（可核验性 20、声明事实性 30、文档级核验 40）+ 效率分 10 分。缺少规定输出文件的任务质量分记为 0。</x:v>
      </x:c>
    </x:row>
  </x:sheetData>
  <x:mergeCells>
    <x:mergeCell ref="A1:I1"/>
    <x:mergeCell ref="A8:I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64" hidden="0" customWidth="1"/>
  </x:cols>
  <x:sheetData>
    <x:row r="1" ht="28" customHeight="1">
      <x:c r="A1" s="4" t="str">
        <x:v>逐题评分明细与扣分理由</x:v>
      </x:c>
      <x:c r="B1" s="4" t="str">
        <x:v>逐题评分明细与扣分理由</x:v>
      </x:c>
      <x:c r="C1" s="4" t="str">
        <x:v>逐题评分明细与扣分理由</x:v>
      </x:c>
      <x:c r="D1" s="4" t="str">
        <x:v>逐题评分明细与扣分理由</x:v>
      </x:c>
      <x:c r="E1" s="4" t="str">
        <x:v>逐题评分明细与扣分理由</x:v>
      </x:c>
      <x:c r="F1" s="4" t="str">
        <x:v>逐题评分明细与扣分理由</x:v>
      </x:c>
      <x:c r="G1" s="4" t="str">
        <x:v>逐题评分明细与扣分理由</x:v>
      </x:c>
      <x:c r="H1" s="4" t="str">
        <x:v>逐题评分明细与扣分理由</x:v>
      </x:c>
      <x:c r="I1" s="4" t="str">
        <x:v>逐题评分明细与扣分理由</x:v>
      </x:c>
      <x:c r="J1" s="4" t="str">
        <x:v>逐题评分明细与扣分理由</x:v>
      </x:c>
      <x:c r="K1" s="4" t="str">
        <x:v>逐题评分明细与扣分理由</x:v>
      </x:c>
    </x:row>
    <x:row r="3">
      <x:c r="A3" s="10" t="str">
        <x:v>平台</x:v>
      </x:c>
      <x:c r="B3" s="10" t="str">
        <x:v>题号</x:v>
      </x:c>
      <x:c r="C3" s="10" t="str">
        <x:v>题型</x:v>
      </x:c>
      <x:c r="D3" s="10" t="str">
        <x:v>类别判断</x:v>
      </x:c>
      <x:c r="E3" s="10" t="str">
        <x:v>证据质量</x:v>
      </x:c>
      <x:c r="F3" s="10" t="str">
        <x:v>处理动作或覆盖</x:v>
      </x:c>
      <x:c r="G3" s="10" t="str">
        <x:v>误报控制</x:v>
      </x:c>
      <x:c r="H3" s="10" t="str">
        <x:v>判断准确性</x:v>
      </x:c>
      <x:c r="I3" s="10" t="str">
        <x:v>最小修订</x:v>
      </x:c>
      <x:c r="J3" s="10" t="str">
        <x:v>题目得分</x:v>
      </x:c>
      <x:c r="K3" s="10" t="str">
        <x:v>扣分原因</x:v>
      </x:c>
    </x:row>
    <x:row r="4" ht="38" customHeight="1">
      <x:c r="A4" s="13" t="str">
        <x:v>ChatGPT Work</x:v>
      </x:c>
      <x:c r="B4" s="13" t="str">
        <x:v>FCB_001</x:v>
      </x:c>
      <x:c r="C4" s="13" t="str">
        <x:v>句子可核验性</x:v>
      </x:c>
      <x:c r="D4" s="14" t="n">
        <x:v>5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14" t="n">
        <x:v>0</x:v>
      </x:c>
      <x:c r="J4" s="14" t="n">
        <x:v>5</x:v>
      </x:c>
      <x:c r="K4" s="13" t="str">
        <x:v>类别与金标准一致</x:v>
      </x:c>
    </x:row>
    <x:row r="5" ht="38" customHeight="1">
      <x:c r="A5" s="13" t="str">
        <x:v>ChatGPT Work</x:v>
      </x:c>
      <x:c r="B5" s="13" t="str">
        <x:v>FCB_002</x:v>
      </x:c>
      <x:c r="C5" s="13" t="str">
        <x:v>句子可核验性</x:v>
      </x:c>
      <x:c r="D5" s="14" t="n">
        <x:v>5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5</x:v>
      </x:c>
      <x:c r="K5" s="13" t="str">
        <x:v>类别与金标准一致</x:v>
      </x:c>
    </x:row>
    <x:row r="6" ht="38" customHeight="1">
      <x:c r="A6" s="13" t="str">
        <x:v>ChatGPT Work</x:v>
      </x:c>
      <x:c r="B6" s="13" t="str">
        <x:v>FCB_003</x:v>
      </x:c>
      <x:c r="C6" s="13" t="str">
        <x:v>句子可核验性</x:v>
      </x:c>
      <x:c r="D6" s="14" t="n">
        <x:v>5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n">
        <x:v>5</x:v>
      </x:c>
      <x:c r="K6" s="13" t="str">
        <x:v>非陈述句类别一致</x:v>
      </x:c>
    </x:row>
    <x:row r="7" ht="38" customHeight="1">
      <x:c r="A7" s="13" t="str">
        <x:v>ChatGPT Work</x:v>
      </x:c>
      <x:c r="B7" s="13" t="str">
        <x:v>FCB_004</x:v>
      </x:c>
      <x:c r="C7" s="13" t="str">
        <x:v>句子可核验性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3" t="str">
        <x:v>规定文件缺失</x:v>
      </x:c>
    </x:row>
    <x:row r="8" ht="38" customHeight="1">
      <x:c r="A8" s="13" t="str">
        <x:v>ChatGPT Work</x:v>
      </x:c>
      <x:c r="B8" s="13" t="str">
        <x:v>FCB_005</x:v>
      </x:c>
      <x:c r="C8" s="13" t="str">
        <x:v>声明事实性</x:v>
      </x:c>
      <x:c r="D8" s="14" t="n">
        <x:v>0</x:v>
      </x:c>
      <x:c r="E8" s="14" t="n">
        <x:v>1.25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n">
        <x:v>1.25</x:v>
      </x:c>
      <x:c r="K8" s="13" t="str">
        <x:v>金标准为正确却判部分正确并改写</x:v>
      </x:c>
    </x:row>
    <x:row r="9" ht="38" customHeight="1">
      <x:c r="A9" s="13" t="str">
        <x:v>ChatGPT Work</x:v>
      </x:c>
      <x:c r="B9" s="13" t="str">
        <x:v>FCB_006</x:v>
      </x:c>
      <x:c r="C9" s="13" t="str">
        <x:v>声明事实性</x:v>
      </x:c>
      <x:c r="D9" s="14" t="n">
        <x:v>0</x:v>
      </x:c>
      <x:c r="E9" s="14" t="n">
        <x:v>1.5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1.5</x:v>
      </x:c>
      <x:c r="K9" s="13" t="str">
        <x:v>金标准为正确却判部分正确</x:v>
      </x:c>
    </x:row>
    <x:row r="10" ht="38" customHeight="1">
      <x:c r="A10" s="13" t="str">
        <x:v>ChatGPT Work</x:v>
      </x:c>
      <x:c r="B10" s="13" t="str">
        <x:v>FCB_007</x:v>
      </x:c>
      <x:c r="C10" s="13" t="str">
        <x:v>声明事实性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3" t="str">
        <x:v>规定文件缺失</x:v>
      </x:c>
    </x:row>
    <x:row r="11" ht="38" customHeight="1">
      <x:c r="A11" s="13" t="str">
        <x:v>ChatGPT Work</x:v>
      </x:c>
      <x:c r="B11" s="13" t="str">
        <x:v>FCB_008</x:v>
      </x:c>
      <x:c r="C11" s="13" t="str">
        <x:v>声明事实性</x:v>
      </x:c>
      <x:c r="D11" s="14" t="n">
        <x:v>0</x:v>
      </x:c>
      <x:c r="E11" s="14" t="n">
        <x:v>1.5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1.5</x:v>
      </x:c>
      <x:c r="K11" s="13" t="str">
        <x:v>金标准为证据不足却判正确</x:v>
      </x:c>
    </x:row>
    <x:row r="12" ht="38" customHeight="1">
      <x:c r="A12" s="13" t="str">
        <x:v>ChatGPT Work</x:v>
      </x:c>
      <x:c r="B12" s="13" t="str">
        <x:v>FCB_009</x:v>
      </x:c>
      <x:c r="C12" s="13" t="str">
        <x:v>文档级核验</x:v>
      </x:c>
      <x:c r="D12" s="14" t="n">
        <x:v>0</x:v>
      </x:c>
      <x:c r="E12" s="14" t="n">
        <x:v>1.5</x:v>
      </x:c>
      <x:c r="F12" s="14" t="n">
        <x:v>0</x:v>
      </x:c>
      <x:c r="G12" s="14" t="n">
        <x:v>1.75</x:v>
      </x:c>
      <x:c r="H12" s="14" t="n">
        <x:v>1.5</x:v>
      </x:c>
      <x:c r="I12" s="14" t="n">
        <x:v>0</x:v>
      </x:c>
      <x:c r="J12" s="14" t="n">
        <x:v>4.75</x:v>
      </x:c>
      <x:c r="K12" s="13" t="str">
        <x:v>漏判金标准未知断言且将一条真断言判无法判断</x:v>
      </x:c>
    </x:row>
    <x:row r="13" ht="38" customHeight="1">
      <x:c r="A13" s="13" t="str">
        <x:v>ChatGPT Work</x:v>
      </x:c>
      <x:c r="B13" s="13" t="str">
        <x:v>FCB_010</x:v>
      </x:c>
      <x:c r="C13" s="13" t="str">
        <x:v>文档级核验</x:v>
      </x:c>
      <x:c r="D13" s="14" t="n">
        <x:v>0</x:v>
      </x:c>
      <x:c r="E13" s="14" t="n">
        <x:v>1.25</x:v>
      </x:c>
      <x:c r="F13" s="14" t="n">
        <x:v>0.2</x:v>
      </x:c>
      <x:c r="G13" s="14" t="n">
        <x:v>0.75</x:v>
      </x:c>
      <x:c r="H13" s="14" t="n">
        <x:v>0.5</x:v>
      </x:c>
      <x:c r="I13" s="14" t="n">
        <x:v>1.5</x:v>
      </x:c>
      <x:c r="J13" s="14" t="n">
        <x:v>4.2</x:v>
      </x:c>
      <x:c r="K13" s="13" t="str">
        <x:v>按基准标签将多条真断言判错但证据较强</x:v>
      </x:c>
    </x:row>
    <x:row r="14" ht="38" customHeight="1">
      <x:c r="A14" s="13" t="str">
        <x:v>ChatGPT Work</x:v>
      </x:c>
      <x:c r="B14" s="13" t="str">
        <x:v>FCB_011</x:v>
      </x:c>
      <x:c r="C14" s="13" t="str">
        <x:v>文档级核验</x:v>
      </x:c>
      <x:c r="D14" s="14" t="n">
        <x:v>0</x:v>
      </x:c>
      <x:c r="E14" s="14" t="n">
        <x:v>1.5</x:v>
      </x:c>
      <x:c r="F14" s="14" t="n">
        <x:v>0</x:v>
      </x:c>
      <x:c r="G14" s="14" t="n">
        <x:v>1</x:v>
      </x:c>
      <x:c r="H14" s="14" t="n">
        <x:v>1</x:v>
      </x:c>
      <x:c r="I14" s="14" t="n">
        <x:v>0</x:v>
      </x:c>
      <x:c r="J14" s="14" t="n">
        <x:v>3.5</x:v>
      </x:c>
      <x:c r="K14" s="13" t="str">
        <x:v>漏判金标准错误与未知断言并对多条真断言过度保留</x:v>
      </x:c>
    </x:row>
    <x:row r="15" ht="38" customHeight="1">
      <x:c r="A15" s="13" t="str">
        <x:v>ChatGPT Work</x:v>
      </x:c>
      <x:c r="B15" s="13" t="str">
        <x:v>FCB_012</x:v>
      </x:c>
      <x:c r="C15" s="13" t="str">
        <x:v>文档级核验</x:v>
      </x:c>
      <x:c r="D15" s="14" t="n">
        <x:v>0</x:v>
      </x:c>
      <x:c r="E15" s="14" t="n">
        <x:v>1.5</x:v>
      </x:c>
      <x:c r="F15" s="14" t="n">
        <x:v>0.6</x:v>
      </x:c>
      <x:c r="G15" s="14" t="n">
        <x:v>1.5</x:v>
      </x:c>
      <x:c r="H15" s="14" t="n">
        <x:v>1</x:v>
      </x:c>
      <x:c r="I15" s="14" t="n">
        <x:v>1</x:v>
      </x:c>
      <x:c r="J15" s="14" t="n">
        <x:v>5.6</x:v>
      </x:c>
      <x:c r="K15" s="13" t="str">
        <x:v>识别部分气候概括风险但漏判两条金标准错误</x:v>
      </x:c>
    </x:row>
    <x:row r="16" ht="38" customHeight="1">
      <x:c r="A16" s="13" t="str">
        <x:v>WorkBuddy</x:v>
      </x:c>
      <x:c r="B16" s="13" t="str">
        <x:v>FCB_001</x:v>
      </x:c>
      <x:c r="C16" s="13" t="str">
        <x:v>句子可核验性</x:v>
      </x:c>
      <x:c r="D16" s="14" t="n">
        <x:v>5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0</x:v>
      </x:c>
      <x:c r="J16" s="14" t="n">
        <x:v>5</x:v>
      </x:c>
      <x:c r="K16" s="13" t="str">
        <x:v>类别与金标准一致</x:v>
      </x:c>
    </x:row>
    <x:row r="17" ht="38" customHeight="1">
      <x:c r="A17" s="13" t="str">
        <x:v>WorkBuddy</x:v>
      </x:c>
      <x:c r="B17" s="13" t="str">
        <x:v>FCB_002</x:v>
      </x:c>
      <x:c r="C17" s="13" t="str">
        <x:v>句子可核验性</x:v>
      </x:c>
      <x:c r="D17" s="14" t="n">
        <x:v>5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0</x:v>
      </x:c>
      <x:c r="J17" s="14" t="n">
        <x:v>5</x:v>
      </x:c>
      <x:c r="K17" s="13" t="str">
        <x:v>类别与金标准一致</x:v>
      </x:c>
    </x:row>
    <x:row r="18" ht="38" customHeight="1">
      <x:c r="A18" s="13" t="str">
        <x:v>WorkBuddy</x:v>
      </x:c>
      <x:c r="B18" s="13" t="str">
        <x:v>FCB_003</x:v>
      </x:c>
      <x:c r="C18" s="13" t="str">
        <x:v>句子可核验性</x:v>
      </x:c>
      <x:c r="D18" s="14" t="n">
        <x:v>5</x:v>
      </x:c>
      <x:c r="E18" s="14" t="n">
        <x:v>0</x:v>
      </x:c>
      <x:c r="F18" s="14" t="n">
        <x:v>0</x:v>
      </x:c>
      <x:c r="G18" s="14" t="n">
        <x:v>0</x:v>
      </x:c>
      <x:c r="H18" s="14" t="n">
        <x:v>0</x:v>
      </x:c>
      <x:c r="I18" s="14" t="n">
        <x:v>0</x:v>
      </x:c>
      <x:c r="J18" s="14" t="n">
        <x:v>5</x:v>
      </x:c>
      <x:c r="K18" s="13" t="str">
        <x:v>非陈述句类别一致</x:v>
      </x:c>
    </x:row>
    <x:row r="19" ht="38" customHeight="1">
      <x:c r="A19" s="13" t="str">
        <x:v>WorkBuddy</x:v>
      </x:c>
      <x:c r="B19" s="13" t="str">
        <x:v>FCB_004</x:v>
      </x:c>
      <x:c r="C19" s="13" t="str">
        <x:v>句子可核验性</x:v>
      </x:c>
      <x:c r="D19" s="14" t="n">
        <x:v>5</x:v>
      </x:c>
      <x:c r="E19" s="14" t="n">
        <x:v>0</x:v>
      </x:c>
      <x:c r="F19" s="14" t="n">
        <x:v>0</x:v>
      </x:c>
      <x:c r="G19" s="14" t="n">
        <x:v>0</x:v>
      </x:c>
      <x:c r="H19" s="14" t="n">
        <x:v>0</x:v>
      </x:c>
      <x:c r="I19" s="14" t="n">
        <x:v>0</x:v>
      </x:c>
      <x:c r="J19" s="14" t="n">
        <x:v>5</x:v>
      </x:c>
      <x:c r="K19" s="13" t="str">
        <x:v>其他信息不足类别一致</x:v>
      </x:c>
    </x:row>
    <x:row r="20" ht="38" customHeight="1">
      <x:c r="A20" s="13" t="str">
        <x:v>WorkBuddy</x:v>
      </x:c>
      <x:c r="B20" s="13" t="str">
        <x:v>FCB_005</x:v>
      </x:c>
      <x:c r="C20" s="13" t="str">
        <x:v>声明事实性</x:v>
      </x:c>
      <x:c r="D20" s="14" t="n">
        <x:v>4</x:v>
      </x:c>
      <x:c r="E20" s="14" t="n">
        <x:v>0.5</x:v>
      </x:c>
      <x:c r="F20" s="14" t="n">
        <x:v>1.5</x:v>
      </x:c>
      <x:c r="G20" s="14" t="n">
        <x:v>0</x:v>
      </x:c>
      <x:c r="H20" s="14" t="n">
        <x:v>0</x:v>
      </x:c>
      <x:c r="I20" s="14" t="n">
        <x:v>0</x:v>
      </x:c>
      <x:c r="J20" s="14" t="n">
        <x:v>6</x:v>
      </x:c>
      <x:c r="K20" s="13" t="str">
        <x:v>结论正确但仅引用维基百科</x:v>
      </x:c>
    </x:row>
    <x:row r="21" ht="38" customHeight="1">
      <x:c r="A21" s="13" t="str">
        <x:v>WorkBuddy</x:v>
      </x:c>
      <x:c r="B21" s="13" t="str">
        <x:v>FCB_006</x:v>
      </x:c>
      <x:c r="C21" s="13" t="str">
        <x:v>声明事实性</x:v>
      </x:c>
      <x:c r="D21" s="14" t="n">
        <x:v>0</x:v>
      </x:c>
      <x:c r="E21" s="14" t="n">
        <x:v>0.5</x:v>
      </x:c>
      <x:c r="F21" s="14" t="n">
        <x:v>0</x:v>
      </x:c>
      <x:c r="G21" s="14" t="n">
        <x:v>0</x:v>
      </x:c>
      <x:c r="H21" s="14" t="n">
        <x:v>0</x:v>
      </x:c>
      <x:c r="I21" s="14" t="n">
        <x:v>0</x:v>
      </x:c>
      <x:c r="J21" s="14" t="n">
        <x:v>0.5</x:v>
      </x:c>
      <x:c r="K21" s="13" t="str">
        <x:v>金标准为正确却判部分正确且来源较弱</x:v>
      </x:c>
    </x:row>
    <x:row r="22" ht="38" customHeight="1">
      <x:c r="A22" s="13" t="str">
        <x:v>WorkBuddy</x:v>
      </x:c>
      <x:c r="B22" s="13" t="str">
        <x:v>FCB_007</x:v>
      </x:c>
      <x:c r="C22" s="13" t="str">
        <x:v>声明事实性</x:v>
      </x:c>
      <x:c r="D22" s="14" t="n">
        <x:v>4</x:v>
      </x:c>
      <x:c r="E22" s="14" t="n">
        <x:v>0.5</x:v>
      </x:c>
      <x:c r="F22" s="14" t="n">
        <x:v>1</x:v>
      </x:c>
      <x:c r="G22" s="14" t="n">
        <x:v>0</x:v>
      </x:c>
      <x:c r="H22" s="14" t="n">
        <x:v>0</x:v>
      </x:c>
      <x:c r="I22" s="14" t="n">
        <x:v>0</x:v>
      </x:c>
      <x:c r="J22" s="14" t="n">
        <x:v>5.5</x:v>
      </x:c>
      <x:c r="K22" s="13" t="str">
        <x:v>结论正确但一条链接无效且修订扩展过多</x:v>
      </x:c>
    </x:row>
    <x:row r="23" ht="38" customHeight="1">
      <x:c r="A23" s="13" t="str">
        <x:v>WorkBuddy</x:v>
      </x:c>
      <x:c r="B23" s="13" t="str">
        <x:v>FCB_008</x:v>
      </x:c>
      <x:c r="C23" s="13" t="str">
        <x:v>声明事实性</x:v>
      </x:c>
      <x:c r="D23" s="14" t="n">
        <x:v>0</x:v>
      </x:c>
      <x:c r="E23" s="14" t="n">
        <x:v>1.5</x:v>
      </x:c>
      <x:c r="F23" s="14" t="n">
        <x:v>0</x:v>
      </x:c>
      <x:c r="G23" s="14" t="n">
        <x:v>0</x:v>
      </x:c>
      <x:c r="H23" s="14" t="n">
        <x:v>0</x:v>
      </x:c>
      <x:c r="I23" s="14" t="n">
        <x:v>0</x:v>
      </x:c>
      <x:c r="J23" s="14" t="n">
        <x:v>1.5</x:v>
      </x:c>
      <x:c r="K23" s="13" t="str">
        <x:v>金标准为证据不足却判正确</x:v>
      </x:c>
    </x:row>
    <x:row r="24" ht="38" customHeight="1">
      <x:c r="A24" s="13" t="str">
        <x:v>WorkBuddy</x:v>
      </x:c>
      <x:c r="B24" s="13" t="str">
        <x:v>FCB_009</x:v>
      </x:c>
      <x:c r="C24" s="13" t="str">
        <x:v>文档级核验</x:v>
      </x:c>
      <x:c r="D24" s="14" t="n">
        <x:v>0</x:v>
      </x:c>
      <x:c r="E24" s="14" t="n">
        <x:v>1.5</x:v>
      </x:c>
      <x:c r="F24" s="14" t="n">
        <x:v>0</x:v>
      </x:c>
      <x:c r="G24" s="14" t="n">
        <x:v>2</x:v>
      </x:c>
      <x:c r="H24" s="14" t="n">
        <x:v>1.6</x:v>
      </x:c>
      <x:c r="I24" s="14" t="n">
        <x:v>0</x:v>
      </x:c>
      <x:c r="J24" s="14" t="n">
        <x:v>5.1</x:v>
      </x:c>
      <x:c r="K24" s="13" t="str">
        <x:v>漏判金标准未知断言</x:v>
      </x:c>
    </x:row>
    <x:row r="25" ht="38" customHeight="1">
      <x:c r="A25" s="13" t="str">
        <x:v>WorkBuddy</x:v>
      </x:c>
      <x:c r="B25" s="13" t="str">
        <x:v>FCB_010</x:v>
      </x:c>
      <x:c r="C25" s="13" t="str">
        <x:v>文档级核验</x:v>
      </x:c>
      <x:c r="D25" s="14" t="n">
        <x:v>0</x:v>
      </x:c>
      <x:c r="E25" s="14" t="n">
        <x:v>0.9</x:v>
      </x:c>
      <x:c r="F25" s="14" t="n">
        <x:v>0.2</x:v>
      </x:c>
      <x:c r="G25" s="14" t="n">
        <x:v>0.5</x:v>
      </x:c>
      <x:c r="H25" s="14" t="n">
        <x:v>0.5</x:v>
      </x:c>
      <x:c r="I25" s="14" t="n">
        <x:v>1.5</x:v>
      </x:c>
      <x:c r="J25" s="14" t="n">
        <x:v>3.6</x:v>
      </x:c>
      <x:c r="K25" s="13" t="str">
        <x:v>多条判断偏离基准且CSV字段未规范转义</x:v>
      </x:c>
    </x:row>
    <x:row r="26" ht="38" customHeight="1">
      <x:c r="A26" s="13" t="str">
        <x:v>WorkBuddy</x:v>
      </x:c>
      <x:c r="B26" s="13" t="str">
        <x:v>FCB_011</x:v>
      </x:c>
      <x:c r="C26" s="13" t="str">
        <x:v>文档级核验</x:v>
      </x:c>
      <x:c r="D26" s="14" t="n">
        <x:v>0</x:v>
      </x:c>
      <x:c r="E26" s="14" t="n">
        <x:v>1</x:v>
      </x:c>
      <x:c r="F26" s="14" t="n">
        <x:v>0.4</x:v>
      </x:c>
      <x:c r="G26" s="14" t="n">
        <x:v>1.5</x:v>
      </x:c>
      <x:c r="H26" s="14" t="n">
        <x:v>1</x:v>
      </x:c>
      <x:c r="I26" s="14" t="n">
        <x:v>0</x:v>
      </x:c>
      <x:c r="J26" s="14" t="n">
        <x:v>3.9</x:v>
      </x:c>
      <x:c r="K26" s="13" t="str">
        <x:v>漏判金标准错误与未知断言且部分来源不可复核</x:v>
      </x:c>
    </x:row>
    <x:row r="27" ht="38" customHeight="1">
      <x:c r="A27" s="13" t="str">
        <x:v>WorkBuddy</x:v>
      </x:c>
      <x:c r="B27" s="13" t="str">
        <x:v>FCB_012</x:v>
      </x:c>
      <x:c r="C27" s="13" t="str">
        <x:v>文档级核验</x:v>
      </x:c>
      <x:c r="D27" s="14" t="n">
        <x:v>0</x:v>
      </x:c>
      <x:c r="E27" s="14" t="n">
        <x:v>1.1</x:v>
      </x:c>
      <x:c r="F27" s="14" t="n">
        <x:v>0.5</x:v>
      </x:c>
      <x:c r="G27" s="14" t="n">
        <x:v>2</x:v>
      </x:c>
      <x:c r="H27" s="14" t="n">
        <x:v>1.2</x:v>
      </x:c>
      <x:c r="I27" s="14" t="n">
        <x:v>1</x:v>
      </x:c>
      <x:c r="J27" s="14" t="n">
        <x:v>5.8</x:v>
      </x:c>
      <x:c r="K27" s="13" t="str">
        <x:v>仅识别一条金标准错误其余气候断言过度保留</x:v>
      </x:c>
    </x:row>
    <x:row r="28" ht="38" customHeight="1">
      <x:c r="A28" s="13" t="str">
        <x:v>TRAE Work</x:v>
      </x:c>
      <x:c r="B28" s="13" t="str">
        <x:v>FCB_001</x:v>
      </x:c>
      <x:c r="C28" s="13" t="str">
        <x:v>句子可核验性</x:v>
      </x:c>
      <x:c r="D28" s="14" t="n">
        <x:v>5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5</x:v>
      </x:c>
      <x:c r="K28" s="13" t="str">
        <x:v>类别与金标准一致</x:v>
      </x:c>
    </x:row>
    <x:row r="29" ht="38" customHeight="1">
      <x:c r="A29" s="13" t="str">
        <x:v>TRAE Work</x:v>
      </x:c>
      <x:c r="B29" s="13" t="str">
        <x:v>FCB_002</x:v>
      </x:c>
      <x:c r="C29" s="13" t="str">
        <x:v>句子可核验性</x:v>
      </x:c>
      <x:c r="D29" s="14" t="n">
        <x:v>5</x:v>
      </x:c>
      <x:c r="E29" s="14" t="n">
        <x:v>0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n">
        <x:v>5</x:v>
      </x:c>
      <x:c r="K29" s="13" t="str">
        <x:v>类别与金标准一致</x:v>
      </x:c>
    </x:row>
    <x:row r="30" ht="38" customHeight="1">
      <x:c r="A30" s="13" t="str">
        <x:v>TRAE Work</x:v>
      </x:c>
      <x:c r="B30" s="13" t="str">
        <x:v>FCB_003</x:v>
      </x:c>
      <x:c r="C30" s="13" t="str">
        <x:v>句子可核验性</x:v>
      </x:c>
      <x:c r="D30" s="14" t="n">
        <x:v>5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0</x:v>
      </x:c>
      <x:c r="J30" s="14" t="n">
        <x:v>5</x:v>
      </x:c>
      <x:c r="K30" s="13" t="str">
        <x:v>非陈述句类别一致</x:v>
      </x:c>
    </x:row>
    <x:row r="31" ht="38" customHeight="1">
      <x:c r="A31" s="13" t="str">
        <x:v>TRAE Work</x:v>
      </x:c>
      <x:c r="B31" s="13" t="str">
        <x:v>FCB_004</x:v>
      </x:c>
      <x:c r="C31" s="13" t="str">
        <x:v>句子可核验性</x:v>
      </x:c>
      <x:c r="D31" s="14" t="n">
        <x:v>0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n">
        <x:v>0</x:v>
      </x:c>
      <x:c r="K31" s="13" t="str">
        <x:v>将其他信息不足误判为可核验事实</x:v>
      </x:c>
    </x:row>
    <x:row r="32" ht="38" customHeight="1">
      <x:c r="A32" s="13" t="str">
        <x:v>TRAE Work</x:v>
      </x:c>
      <x:c r="B32" s="13" t="str">
        <x:v>FCB_005</x:v>
      </x:c>
      <x:c r="C32" s="13" t="str">
        <x:v>声明事实性</x:v>
      </x:c>
      <x:c r="D32" s="14" t="n">
        <x:v>4</x:v>
      </x:c>
      <x:c r="E32" s="14" t="n">
        <x:v>0.5</x:v>
      </x:c>
      <x:c r="F32" s="14" t="n">
        <x:v>1.5</x:v>
      </x:c>
      <x:c r="G32" s="14" t="n">
        <x:v>0</x:v>
      </x:c>
      <x:c r="H32" s="14" t="n">
        <x:v>0</x:v>
      </x:c>
      <x:c r="I32" s="14" t="n">
        <x:v>0</x:v>
      </x:c>
      <x:c r="J32" s="14" t="n">
        <x:v>6</x:v>
      </x:c>
      <x:c r="K32" s="13" t="str">
        <x:v>结论正确但仅引用维基百科</x:v>
      </x:c>
    </x:row>
    <x:row r="33" ht="38" customHeight="1">
      <x:c r="A33" s="13" t="str">
        <x:v>TRAE Work</x:v>
      </x:c>
      <x:c r="B33" s="13" t="str">
        <x:v>FCB_006</x:v>
      </x:c>
      <x:c r="C33" s="13" t="str">
        <x:v>声明事实性</x:v>
      </x:c>
      <x:c r="D33" s="14" t="n">
        <x:v>0</x:v>
      </x:c>
      <x:c r="E33" s="14" t="n">
        <x:v>1</x:v>
      </x:c>
      <x:c r="F33" s="14" t="n">
        <x:v>0</x:v>
      </x:c>
      <x:c r="G33" s="14" t="n">
        <x:v>0</x:v>
      </x:c>
      <x:c r="H33" s="14" t="n">
        <x:v>0</x:v>
      </x:c>
      <x:c r="I33" s="14" t="n">
        <x:v>0</x:v>
      </x:c>
      <x:c r="J33" s="14" t="n">
        <x:v>1</x:v>
      </x:c>
      <x:c r="K33" s="13" t="str">
        <x:v>金标准为正确却判无法判断</x:v>
      </x:c>
    </x:row>
    <x:row r="34" ht="38" customHeight="1">
      <x:c r="A34" s="13" t="str">
        <x:v>TRAE Work</x:v>
      </x:c>
      <x:c r="B34" s="13" t="str">
        <x:v>FCB_007</x:v>
      </x:c>
      <x:c r="C34" s="13" t="str">
        <x:v>声明事实性</x:v>
      </x:c>
      <x:c r="D34" s="14" t="n">
        <x:v>4</x:v>
      </x:c>
      <x:c r="E34" s="14" t="n">
        <x:v>1.75</x:v>
      </x:c>
      <x:c r="F34" s="14" t="n">
        <x:v>1</x:v>
      </x:c>
      <x:c r="G34" s="14" t="n">
        <x:v>0</x:v>
      </x:c>
      <x:c r="H34" s="14" t="n">
        <x:v>0</x:v>
      </x:c>
      <x:c r="I34" s="14" t="n">
        <x:v>0</x:v>
      </x:c>
      <x:c r="J34" s="14" t="n">
        <x:v>6.75</x:v>
      </x:c>
      <x:c r="K34" s="13" t="str">
        <x:v>结论正确且个人主页和CV较强但修订扩展过多</x:v>
      </x:c>
    </x:row>
    <x:row r="35" ht="38" customHeight="1">
      <x:c r="A35" s="13" t="str">
        <x:v>TRAE Work</x:v>
      </x:c>
      <x:c r="B35" s="13" t="str">
        <x:v>FCB_008</x:v>
      </x:c>
      <x:c r="C35" s="13" t="str">
        <x:v>声明事实性</x:v>
      </x:c>
      <x:c r="D35" s="14" t="n">
        <x:v>0</x:v>
      </x:c>
      <x:c r="E35" s="14" t="n">
        <x:v>1.5</x:v>
      </x:c>
      <x:c r="F35" s="14" t="n">
        <x:v>0</x:v>
      </x:c>
      <x:c r="G35" s="14" t="n">
        <x:v>0</x:v>
      </x:c>
      <x:c r="H35" s="14" t="n">
        <x:v>0</x:v>
      </x:c>
      <x:c r="I35" s="14" t="n">
        <x:v>0</x:v>
      </x:c>
      <x:c r="J35" s="14" t="n">
        <x:v>1.5</x:v>
      </x:c>
      <x:c r="K35" s="13" t="str">
        <x:v>金标准为证据不足却判部分正确</x:v>
      </x:c>
    </x:row>
    <x:row r="36" ht="38" customHeight="1">
      <x:c r="A36" s="13" t="str">
        <x:v>TRAE Work</x:v>
      </x:c>
      <x:c r="B36" s="13" t="str">
        <x:v>FCB_009</x:v>
      </x:c>
      <x:c r="C36" s="13" t="str">
        <x:v>文档级核验</x:v>
      </x:c>
      <x:c r="D36" s="14" t="n">
        <x:v>0</x:v>
      </x:c>
      <x:c r="E36" s="14" t="n">
        <x:v>1.5</x:v>
      </x:c>
      <x:c r="F36" s="14" t="n">
        <x:v>0</x:v>
      </x:c>
      <x:c r="G36" s="14" t="n">
        <x:v>2</x:v>
      </x:c>
      <x:c r="H36" s="14" t="n">
        <x:v>1.7</x:v>
      </x:c>
      <x:c r="I36" s="14" t="n">
        <x:v>0</x:v>
      </x:c>
      <x:c r="J36" s="14" t="n">
        <x:v>5.2</x:v>
      </x:c>
      <x:c r="K36" s="13" t="str">
        <x:v>漏判金标准未知断言</x:v>
      </x:c>
    </x:row>
    <x:row r="37" ht="38" customHeight="1">
      <x:c r="A37" s="13" t="str">
        <x:v>TRAE Work</x:v>
      </x:c>
      <x:c r="B37" s="13" t="str">
        <x:v>FCB_010</x:v>
      </x:c>
      <x:c r="C37" s="13" t="str">
        <x:v>文档级核验</x:v>
      </x:c>
      <x:c r="D37" s="14" t="n">
        <x:v>0</x:v>
      </x:c>
      <x:c r="E37" s="14" t="n">
        <x:v>1.5</x:v>
      </x:c>
      <x:c r="F37" s="14" t="n">
        <x:v>0.3</x:v>
      </x:c>
      <x:c r="G37" s="14" t="n">
        <x:v>0.5</x:v>
      </x:c>
      <x:c r="H37" s="14" t="n">
        <x:v>0.5</x:v>
      </x:c>
      <x:c r="I37" s="14" t="n">
        <x:v>1.5</x:v>
      </x:c>
      <x:c r="J37" s="14" t="n">
        <x:v>4.3</x:v>
      </x:c>
      <x:c r="K37" s="13" t="str">
        <x:v>按基准标签将多条真断言判错但来源较强</x:v>
      </x:c>
    </x:row>
    <x:row r="38" ht="38" customHeight="1">
      <x:c r="A38" s="13" t="str">
        <x:v>TRAE Work</x:v>
      </x:c>
      <x:c r="B38" s="13" t="str">
        <x:v>FCB_011</x:v>
      </x:c>
      <x:c r="C38" s="13" t="str">
        <x:v>文档级核验</x:v>
      </x:c>
      <x:c r="D38" s="14" t="n">
        <x:v>0</x:v>
      </x:c>
      <x:c r="E38" s="14" t="n">
        <x:v>1.5</x:v>
      </x:c>
      <x:c r="F38" s="14" t="n">
        <x:v>0.4</x:v>
      </x:c>
      <x:c r="G38" s="14" t="n">
        <x:v>1.3</x:v>
      </x:c>
      <x:c r="H38" s="14" t="n">
        <x:v>1.1</x:v>
      </x:c>
      <x:c r="I38" s="14" t="n">
        <x:v>0</x:v>
      </x:c>
      <x:c r="J38" s="14" t="n">
        <x:v>4.3</x:v>
      </x:c>
      <x:c r="K38" s="13" t="str">
        <x:v>漏判金标准错误与未知断言并对部分真断言过度修订</x:v>
      </x:c>
    </x:row>
    <x:row r="39" ht="38" customHeight="1">
      <x:c r="A39" s="13" t="str">
        <x:v>TRAE Work</x:v>
      </x:c>
      <x:c r="B39" s="13" t="str">
        <x:v>FCB_012</x:v>
      </x:c>
      <x:c r="C39" s="13" t="str">
        <x:v>文档级核验</x:v>
      </x:c>
      <x:c r="D39" s="14" t="n">
        <x:v>0</x:v>
      </x:c>
      <x:c r="E39" s="14" t="n">
        <x:v>0.9</x:v>
      </x:c>
      <x:c r="F39" s="14" t="n">
        <x:v>0.5</x:v>
      </x:c>
      <x:c r="G39" s="14" t="n">
        <x:v>1.8</x:v>
      </x:c>
      <x:c r="H39" s="14" t="n">
        <x:v>1.3</x:v>
      </x:c>
      <x:c r="I39" s="14" t="n">
        <x:v>1</x:v>
      </x:c>
      <x:c r="J39" s="14" t="n">
        <x:v>5.5</x:v>
      </x:c>
      <x:c r="K39" s="13" t="str">
        <x:v>识别一条金标准错误但多个州级概括判断偏宽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72" hidden="0" customWidth="1"/>
  </x:cols>
  <x:sheetData>
    <x:row r="1" ht="28" customHeight="1">
      <x:c r="A1" s="4" t="str">
        <x:v>Factcheck-GPT 评分规则摘要（v1.0）</x:v>
      </x:c>
      <x:c r="B1" s="4" t="str">
        <x:v>Factcheck-GPT 评分规则摘要（v1.0）</x:v>
      </x:c>
      <x:c r="C1" s="4" t="str">
        <x:v>Factcheck-GPT 评分规则摘要（v1.0）</x:v>
      </x:c>
      <x:c r="D1" s="4" t="str">
        <x:v>Factcheck-GPT 评分规则摘要（v1.0）</x:v>
      </x:c>
    </x:row>
    <x:row r="3">
      <x:c r="A3" s="10" t="str">
        <x:v>部分</x:v>
      </x:c>
      <x:c r="B3" s="10" t="str">
        <x:v>分值</x:v>
      </x:c>
      <x:c r="C3" s="10" t="str">
        <x:v>核验方式</x:v>
      </x:c>
      <x:c r="D3" s="10" t="str">
        <x:v>判分说明</x:v>
      </x:c>
    </x:row>
    <x:row r="4" ht="38" customHeight="1">
      <x:c r="A4" s="13" t="str">
        <x:v>交付门槛</x:v>
      </x:c>
      <x:c r="B4" s="13" t="str">
        <x:v>门槛</x:v>
      </x:c>
      <x:c r="C4" s="13" t="str">
        <x:v>逐题检查</x:v>
      </x:c>
      <x:c r="D4" s="13" t="str">
        <x:v>每题须同时有《事实核验报告.md》和《事实核验结果.csv》；任一缺失，该题质量分为 0。</x:v>
      </x:c>
    </x:row>
    <x:row r="5" ht="38" customHeight="1">
      <x:c r="A5" s="13" t="str">
        <x:v>可核验性</x:v>
      </x:c>
      <x:c r="B5" s="13" t="str">
        <x:v>20</x:v>
      </x:c>
      <x:c r="C5" s="13" t="str">
        <x:v>FCB_001 至 FCB_004</x:v>
      </x:c>
      <x:c r="D5" s="13" t="str">
        <x:v>每题 5 分，仅按基准标签映射是否应核验及类别。</x:v>
      </x:c>
    </x:row>
    <x:row r="6" ht="38" customHeight="1">
      <x:c r="A6" s="13" t="str">
        <x:v>声明事实性</x:v>
      </x:c>
      <x:c r="B6" s="13" t="str">
        <x:v>30</x:v>
      </x:c>
      <x:c r="C6" s="13" t="str">
        <x:v>FCB_005 至 FCB_008</x:v>
      </x:c>
      <x:c r="D6" s="13" t="str">
        <x:v>每题 7.5 分：结论 4 分、证据 2 分、处置动作 1.5 分。</x:v>
      </x:c>
    </x:row>
    <x:row r="7" ht="38" customHeight="1">
      <x:c r="A7" s="13" t="str">
        <x:v>文档级核验</x:v>
      </x:c>
      <x:c r="B7" s="13" t="str">
        <x:v>40</x:v>
      </x:c>
      <x:c r="C7" s="13" t="str">
        <x:v>FCB_009 至 FCB_012</x:v>
      </x:c>
      <x:c r="D7" s="13" t="str">
        <x:v>每题 10 分：错误检测召回 3、误报控制 2、判断准确性 2、证据直接性 1.5、最小修订 1.5。</x:v>
      </x:c>
    </x:row>
    <x:row r="8" ht="38" customHeight="1">
      <x:c r="A8" s="13" t="str">
        <x:v>效率</x:v>
      </x:c>
      <x:c r="B8" s="13" t="str">
        <x:v>10</x:v>
      </x:c>
      <x:c r="C8" s="13" t="str">
        <x:v>总耗时</x:v>
      </x:c>
      <x:c r="D8" s="13" t="str">
        <x:v>10 × sqrt（最快平台总耗时 / 当前平台总耗时）。用户计时为唯一口径。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8" hidden="0" customWidth="1"/>
  </x:cols>
  <x:sheetData>
    <x:row r="1" ht="28" customHeight="1">
      <x:c r="A1" s="4" t="str">
        <x:v>审计说明与可复核边界</x:v>
      </x:c>
      <x:c r="B1" s="4" t="str">
        <x:v>审计说明与可复核边界</x:v>
      </x:c>
    </x:row>
    <x:row r="3">
      <x:c r="A3" s="10" t="str">
        <x:v>序号</x:v>
      </x:c>
      <x:c r="B3" s="10" t="str">
        <x:v>说明</x:v>
      </x:c>
    </x:row>
    <x:row r="4" ht="32" customHeight="1">
      <x:c r="A4" s="13" t="n">
        <x:v>1</x:v>
      </x:c>
      <x:c r="B4" s="13" t="str">
        <x:v>本报告只审计 Factcheck-GPT 的 FCB_001 至 FCB_012，不包含 FACTS Grounding。评分严格使用已冻结的 `Factcheck-GPT评分规则_v1.0.md`：质量 90 分、效率 10 分。</x:v>
      </x:c>
    </x:row>
    <x:row r="5" ht="32" customHeight="1">
      <x:c r="A5" s="13" t="n">
        <x:v>2</x:v>
      </x:c>
      <x:c r="B5" s="13" t="str">
        <x:v>| 平台 | 可核验性 | 声明事实性 | 文档级核验 | 质量分 | 效率分 | 综合得分 |</x:v>
      </x:c>
    </x:row>
    <x:row r="6" ht="32" customHeight="1">
      <x:c r="A6" s="13" t="n">
        <x:v>3</x:v>
      </x:c>
      <x:c r="B6" s="13" t="str">
        <x:v>| --- | ---: | ---: | ---: | ---: | ---: | ---: |</x:v>
      </x:c>
    </x:row>
    <x:row r="7" ht="32" customHeight="1">
      <x:c r="A7" s="13" t="n">
        <x:v>4</x:v>
      </x:c>
      <x:c r="B7" s="13" t="str">
        <x:v>| WorkBuddy | 20.00 | 13.50 | 18.40 | 51.90 | 8.73 | **60.63** |</x:v>
      </x:c>
    </x:row>
    <x:row r="8" ht="32" customHeight="1">
      <x:c r="A8" s="13" t="n">
        <x:v>5</x:v>
      </x:c>
      <x:c r="B8" s="13" t="str">
        <x:v>| TRAE Work | 15.00 | 15.25 | 19.30 | 49.55 | 8.54 | **58.09** |</x:v>
      </x:c>
    </x:row>
    <x:row r="9" ht="32" customHeight="1">
      <x:c r="A9" s="13" t="n">
        <x:v>6</x:v>
      </x:c>
      <x:c r="B9" s="13" t="str">
        <x:v>| ChatGPT Work | 15.00 | 4.25 | 18.05 | 37.30 | 10.00 | **47.30** |</x:v>
      </x:c>
    </x:row>
    <x:row r="10" ht="32" customHeight="1">
      <x:c r="A10" s="13" t="n">
        <x:v>7</x:v>
      </x:c>
      <x:c r="B10" s="13" t="str">
        <x:v>WorkBuddy 以完整交付和可核验性四题全对取得第一；TRAE 的声明事实性得分最高；ChatGPT Work 用时最短，但 FCB_004、FCB_007 的规定文件缺失，按门槛规则两题为零分，显著拉低质量分。</x:v>
      </x:c>
    </x:row>
    <x:row r="11" ht="32" customHeight="1">
      <x:c r="A11" s="13" t="n">
        <x:v>8</x:v>
      </x:c>
      <x:c r="B11" s="13" t="str">
        <x:v>WorkBuddy 四题均与金标准类别一致。TRAE 将 FCB_004 的“其他/信息不足”误判为可核验事实。ChatGPT Work 在已交付的三题中分类正确，但缺失 FCB_004。</x:v>
      </x:c>
    </x:row>
    <x:row r="12" ht="32" customHeight="1">
      <x:c r="A12" s="13" t="n">
        <x:v>9</x:v>
      </x:c>
      <x:c r="B12" s="13" t="str">
        <x:v>TRAE 对 FCB_007 的人物获奖错误识别和证据链最好；WorkBuddy 结论方向多数正确，但过度依赖维基百科，且 FCB_007 有无效链接。三家都没有与基准金标准一致地处理 FCB_008 的“证据不足”类别。</x:v>
      </x:c>
    </x:row>
    <x:row r="13" ht="32" customHeight="1">
      <x:c r="A13" s="13" t="n">
        <x:v>10</x:v>
      </x:c>
      <x:c r="B13" s="13" t="str">
        <x:v>三家在文档级任务上均低于 20/40。主要问题不是未拆分文本，而是没有准确识别基准标注为“错误/未知”的原子断言，或把金标准为真的断言过度修正。TRAE 的文档级得分略高，因其拆分更细、官方来源较多；WorkBuddy 的 FCB_010 CSV 存在未规范转义，导致部分字段合并，降低了可复核性。</x:v>
      </x:c>
    </x:row>
    <x:row r="14" ht="32" customHeight="1">
      <x:c r="A14" s="13" t="n">
        <x:v>11</x:v>
      </x:c>
      <x:c r="B14" s="13" t="str">
        <x:v>Factcheck-GPT 12 题总耗时：ChatGPT Work 1696.53 秒，WorkBuddy 2228.65 秒，TRAE Work 2328.76 秒。效率公式为 `10 × sqrt(最短总耗时 / 本平台总耗时)`。时长表注明 ChatGPT Work 的 FCB_004、FCB_007 出现中断和人工干预，且中断时间未记录；本报告按表内已记录时长计算，并将该限制保留在审计结论中。</x:v>
      </x:c>
    </x:row>
    <x:row r="15" ht="32" customHeight="1">
      <x:c r="A15" s="13" t="n">
        <x:v>12</x:v>
      </x:c>
      <x:c r="B15" s="13" t="str">
        <x:v>本报告评估的是“与 Factcheck-GPT 隐藏金标准的一致性”，不等同于对现实世界事实的最终裁决。审计中发现，部分金标准与当前更常见的技术或科学表述存在张力，例如 BPE 与加密用途、超大质量黑洞并合的具体情形。为保持可复现性，评分仍以预先冻结的基准标签为准；正式报告应将该点列为标准化基准的局限。</x:v>
      </x:c>
    </x:row>
    <x:row r="16" ht="32" customHeight="1">
      <x:c r="A16" s="13" t="n">
        <x:v>13</x:v>
      </x:c>
      <x:c r="B16" s="13" t="str">
        <x:v>ChatGPT Work：缺少 `FCB_004`、`FCB_007` 的 `事实核验报告.md` 和 `事实核验结果.csv`。</x:v>
      </x:c>
    </x:row>
    <x:row r="17" ht="32" customHeight="1">
      <x:c r="A17" s="13" t="n">
        <x:v>14</x:v>
      </x:c>
      <x:c r="B17" s="13" t="str">
        <x:v>WorkBuddy：`FCB_010` 的 CSV 未对逗号与换行进行规范转义，部分字段无法作为独立记录读取。</x:v>
      </x:c>
    </x:row>
    <x:row r="18" ht="32" customHeight="1">
      <x:c r="A18" s="13" t="n">
        <x:v>15</x:v>
      </x:c>
      <x:c r="B18" s="13" t="str">
        <x:v>TRAE Work：12 题文件完整；部分来源为维基百科或第三方站点，影响证据质量但不影响交付门槛。</x:v>
      </x:c>
    </x:row>
  </x:sheetData>
  <x:mergeCells>
    <x:mergeCell ref="A1:B1"/>
  </x:mergeCells>
  <x:pageMargins left="0.7" right="0.7" top="0.75" bottom="0.75" header="0.3" footer="0.3"/>
</x:worksheet>
</file>